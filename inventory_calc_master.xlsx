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5f1874ae398d77/Desktop/inventory_project/"/>
    </mc:Choice>
  </mc:AlternateContent>
  <xr:revisionPtr revIDLastSave="43" documentId="8_{6A667804-3F8C-4529-9427-1EEA51F6B8D0}" xr6:coauthVersionLast="47" xr6:coauthVersionMax="47" xr10:uidLastSave="{00A9A046-735F-4786-B578-7ADD44F683D0}"/>
  <bookViews>
    <workbookView xWindow="-108" yWindow="-108" windowWidth="23256" windowHeight="12456" xr2:uid="{84B10601-449D-45ED-8FFC-3C9EE310A578}"/>
  </bookViews>
  <sheets>
    <sheet name="Sheet1" sheetId="2" r:id="rId1"/>
    <sheet name="inventory_priority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2" i="1"/>
</calcChain>
</file>

<file path=xl/sharedStrings.xml><?xml version="1.0" encoding="utf-8"?>
<sst xmlns="http://schemas.openxmlformats.org/spreadsheetml/2006/main" count="373" uniqueCount="140">
  <si>
    <t>product_name</t>
  </si>
  <si>
    <t>total_revenue</t>
  </si>
  <si>
    <t>abc_class</t>
  </si>
  <si>
    <t>avg_monthly_demand</t>
  </si>
  <si>
    <t>demand_stddev</t>
  </si>
  <si>
    <t>coefficient_of_variation</t>
  </si>
  <si>
    <t>risk_percentage</t>
  </si>
  <si>
    <t>inventory_priority</t>
  </si>
  <si>
    <t>Field &amp; Stream Sportsman 16 Gun Fire Safe</t>
  </si>
  <si>
    <t>A</t>
  </si>
  <si>
    <t>High Priority</t>
  </si>
  <si>
    <t>Perfect Fitness Perfect Rip Deck</t>
  </si>
  <si>
    <t>Diamondback Women's Serene Classic Comfort Bi</t>
  </si>
  <si>
    <t>Nike Men's Free 5.0+ Running Shoe</t>
  </si>
  <si>
    <t>Nike Men's Dri-FIT Victory Golf Polo</t>
  </si>
  <si>
    <t>Pelican Sunstream 100 Kayak</t>
  </si>
  <si>
    <t>Nike Men's CJ Elite 2 TD Football Cleat</t>
  </si>
  <si>
    <t>O'Brien Men's Neoprene Life Vest</t>
  </si>
  <si>
    <t>B</t>
  </si>
  <si>
    <t>Medium Priority</t>
  </si>
  <si>
    <t>Under Armour Girls' Toddler Spine Surge Runni</t>
  </si>
  <si>
    <t>Dell Laptop</t>
  </si>
  <si>
    <t>Web Camera</t>
  </si>
  <si>
    <t>Lawn mower</t>
  </si>
  <si>
    <t>Children's heaters</t>
  </si>
  <si>
    <t>Porcelain crafts</t>
  </si>
  <si>
    <t>Summer dresses</t>
  </si>
  <si>
    <t xml:space="preserve">Smart watch </t>
  </si>
  <si>
    <t>Rock music</t>
  </si>
  <si>
    <t>Industrial consumer electronics</t>
  </si>
  <si>
    <t>First aid kit</t>
  </si>
  <si>
    <t xml:space="preserve">DVDs </t>
  </si>
  <si>
    <t>adidas Youth Germany Black/Red Away Match Soc</t>
  </si>
  <si>
    <t>LIJA Women's Eyelet Sleeveless Golf Polo</t>
  </si>
  <si>
    <t>adidas Men's F10 Messi TRX FG Soccer Cleat</t>
  </si>
  <si>
    <t>Titleist Pro V1x High Numbers Personalized Go</t>
  </si>
  <si>
    <t>C</t>
  </si>
  <si>
    <t>Under Armour Women's Micro G Skulpt Running S</t>
  </si>
  <si>
    <t>Nike Men's Comfort 2 Slide</t>
  </si>
  <si>
    <t>Titleist Pro V1 High Numbers Personalized Gol</t>
  </si>
  <si>
    <t>Men's gala suit</t>
  </si>
  <si>
    <t>Adult dog supplies</t>
  </si>
  <si>
    <t>Titleist Pro V1x Golf Balls</t>
  </si>
  <si>
    <t>Titleist Pro V1x High Numbers Golf Balls</t>
  </si>
  <si>
    <t>Under Armour Men's Compression EV SL Slide</t>
  </si>
  <si>
    <t>TYR Boys' Team Digi Jammer</t>
  </si>
  <si>
    <t>Clicgear Rovic Cooler Bag</t>
  </si>
  <si>
    <t>Fighting video games</t>
  </si>
  <si>
    <t>SOLE E35 Elliptical</t>
  </si>
  <si>
    <t>Low Priority</t>
  </si>
  <si>
    <t>ENO Atlas Hammock Straps</t>
  </si>
  <si>
    <t>Bridgestone e6 Straight Distance NFL Carolina</t>
  </si>
  <si>
    <t>Under Armour Hustle Storm Medium Duffle Bag</t>
  </si>
  <si>
    <t>Under Armour Women's Ignite Slide</t>
  </si>
  <si>
    <t>Bridgestone e6 Straight Distance NFL San Dieg</t>
  </si>
  <si>
    <t>Columbia Men's PFG Anchor Tough T-Shirt</t>
  </si>
  <si>
    <t>adidas Kids' F5 Messi FG Soccer Cleat</t>
  </si>
  <si>
    <t>Nike Women's Tempo Shorts</t>
  </si>
  <si>
    <t>Nike Men's Deutschland Weltmeister Winners Bl</t>
  </si>
  <si>
    <t>Under Armour Women's Ignite PIP VI Slide</t>
  </si>
  <si>
    <t>Bridgestone e6 Straight Distance NFL Tennesse</t>
  </si>
  <si>
    <t>Team Golf St. Louis Cardinals Putter Grip</t>
  </si>
  <si>
    <t>Team Golf Tennessee Volunteers Putter Grip</t>
  </si>
  <si>
    <t>LIJA Women's Mid-Length Panel Golf Shorts</t>
  </si>
  <si>
    <t>Team Golf Texas Longhorns Putter Grip</t>
  </si>
  <si>
    <t>Under Armour Kids' Mercenary Slide</t>
  </si>
  <si>
    <t>Team Golf Pittsburgh Steelers Putter Grip</t>
  </si>
  <si>
    <t>Team Golf San Francisco Giants Putter Grip</t>
  </si>
  <si>
    <t>adidas Men's Germany Black Crest Away Tee</t>
  </si>
  <si>
    <t>Bag Boy Beverage Holder</t>
  </si>
  <si>
    <t>Under Armour Men's Tech II T-Shirt</t>
  </si>
  <si>
    <t>Merrell Women's Grassbow Sport Hiking Shoe</t>
  </si>
  <si>
    <t>Nike Men's Free TR 5.0 TB Training Shoe</t>
  </si>
  <si>
    <t>Team Golf New England Patriots Putter Grip</t>
  </si>
  <si>
    <t>Glove It Women's Mod Oval 3-Zip Carry All Gol</t>
  </si>
  <si>
    <t>Nike Women's Legend V-Neck T-Shirt</t>
  </si>
  <si>
    <t>Nike Women's Free 5.0 TR FIT PRT 4 Training S</t>
  </si>
  <si>
    <t>Nike Dri-FIT Crew Sock 6 Pack</t>
  </si>
  <si>
    <t>TaylorMade White Smoke IN-12 Putter</t>
  </si>
  <si>
    <t>Garmin Approach S3 Golf GPS Watch</t>
  </si>
  <si>
    <t>Brooks Women's Ghost 6 Running Shoe</t>
  </si>
  <si>
    <t>Glove It Women's Imperial Golf Glove</t>
  </si>
  <si>
    <t>Fitbit The One Wireless Activity &amp; Sleep Trac</t>
  </si>
  <si>
    <t>Nike Kids' Grade School KD VI Basketball Shoe</t>
  </si>
  <si>
    <t>Elevation Training Mask 2.0</t>
  </si>
  <si>
    <t>The North Face Women's Recon Backpack</t>
  </si>
  <si>
    <t>Top Flite Women's 2014 XL Hybrid</t>
  </si>
  <si>
    <t>Polar FT4 Heart Rate Monitor</t>
  </si>
  <si>
    <t>Bag Boy M330 Push Cart</t>
  </si>
  <si>
    <t>Glove It Women's Mod Oval Golf Glove</t>
  </si>
  <si>
    <t>Hirzl Women's Soffft Flex Golf Glove</t>
  </si>
  <si>
    <t>LIJA Women's Argyle Golf Polo</t>
  </si>
  <si>
    <t>Glove It Imperial Golf Towel</t>
  </si>
  <si>
    <t>Glove It Urban Brick Golf Towel</t>
  </si>
  <si>
    <t>Garmin Forerunner 910XT GPS Watch</t>
  </si>
  <si>
    <t>Pelican Maverick 100X Kayak</t>
  </si>
  <si>
    <t>Cleveland Golf Collegiate My Custom Wedge 588</t>
  </si>
  <si>
    <t>Titleist Small Wheeled Travel Cover</t>
  </si>
  <si>
    <t>Mio ALPHA Heart Rate Monitor/Sport Watch</t>
  </si>
  <si>
    <t>Hirzl Women's Hybrid Golf Glove</t>
  </si>
  <si>
    <t>Hirzl Men's Hybrid Golf Glove</t>
  </si>
  <si>
    <t>GoPro HERO3+ Black Edition Camera</t>
  </si>
  <si>
    <t>Nike Men's Kobe IX Elite Low Basketball Shoe</t>
  </si>
  <si>
    <t xml:space="preserve">Sports Books </t>
  </si>
  <si>
    <t>Baby sweater</t>
  </si>
  <si>
    <t>Yakima DoubleDown Ace Hitch Mount 4-Bike Rack</t>
  </si>
  <si>
    <t>GolfBuddy VT3 GPS Watch</t>
  </si>
  <si>
    <t>TaylorMade 2014 Purelite Stand Bag</t>
  </si>
  <si>
    <t>MDGolf Pittsburgh Penguins Putter</t>
  </si>
  <si>
    <t>Total Gym 1400</t>
  </si>
  <si>
    <t>Garmin Approach S4 Golf GPS Watch</t>
  </si>
  <si>
    <t>adidas Brazuca 2014 Official Match Ball</t>
  </si>
  <si>
    <t>Ogio Race Golf Shoes</t>
  </si>
  <si>
    <t>Titleist Club Glove Travel Cover</t>
  </si>
  <si>
    <t>SOLE E25 Elliptical</t>
  </si>
  <si>
    <t>Merrell Women's Siren Mid Waterproof Hiking B</t>
  </si>
  <si>
    <t>Merrell Men's All Out Flash Trail Running Sho</t>
  </si>
  <si>
    <t>insta-bed Neverflat Air Mattress</t>
  </si>
  <si>
    <t>Stiga Master Series ST3100 Competition Indoor</t>
  </si>
  <si>
    <t>Clicgear 8.0 Shoe Brush</t>
  </si>
  <si>
    <t>TaylorMade Women's RBZ SL Rescue</t>
  </si>
  <si>
    <t>Diamondback Boys' Insight 24 Performance Hybr</t>
  </si>
  <si>
    <t>Diamondback Girls' Clarity 24 Hybrid Bike 201</t>
  </si>
  <si>
    <t>Cleveland Golf Women's 588 RTX CB Satin Chrom</t>
  </si>
  <si>
    <t>LIJA Women's Button Golf Dress</t>
  </si>
  <si>
    <t>Nike Men's Fingertrap Max Training Shoe</t>
  </si>
  <si>
    <t>Merrell Women's Grassbow Sport Waterproof Hik</t>
  </si>
  <si>
    <t>Bushnell Pro X7 Jolt Slope Rangefinder</t>
  </si>
  <si>
    <t xml:space="preserve">Toys </t>
  </si>
  <si>
    <t>Bowflex SelectTech 1090 Dumbbells</t>
  </si>
  <si>
    <t>Polar Loop Activity Tracker</t>
  </si>
  <si>
    <t>CDs of rock</t>
  </si>
  <si>
    <t>Lead_Time_Days</t>
  </si>
  <si>
    <t>Safety_Stock</t>
  </si>
  <si>
    <t>Reorder_Point</t>
  </si>
  <si>
    <t>Row Labels</t>
  </si>
  <si>
    <t>Grand Total</t>
  </si>
  <si>
    <t>Count of product_name</t>
  </si>
  <si>
    <t>Sum of Reorder_Point</t>
  </si>
  <si>
    <t>Average of coefficient_of_variation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</si>
</sst>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lini B" refreshedDate="46251.503128356482" createdVersion="8" refreshedVersion="8" minRefreshableVersion="3" recordCount="119" xr:uid="{B68B901D-2183-4B77-9E1B-D6B699112503}">
  <cacheSource type="worksheet">
    <worksheetSource ref="A1:K1048576" sheet="inventory_priority"/>
  </cacheSource>
  <cacheFields count="11">
    <cacheField name="product_name" numFmtId="0">
      <sharedItems containsBlank="1"/>
    </cacheField>
    <cacheField name="total_revenue" numFmtId="0">
      <sharedItems containsString="0" containsBlank="1" containsNumber="1" minValue="3059.5899999999901" maxValue="6929653.5"/>
    </cacheField>
    <cacheField name="abc_class" numFmtId="0">
      <sharedItems containsBlank="1"/>
    </cacheField>
    <cacheField name="avg_monthly_demand" numFmtId="0">
      <sharedItems containsString="0" containsBlank="1" containsNumber="1" minValue="5" maxValue="2167.5882352941098"/>
    </cacheField>
    <cacheField name="demand_stddev" numFmtId="0">
      <sharedItems containsString="0" containsBlank="1" containsNumber="1" minValue="2.1213203435596402" maxValue="394.56558390209301"/>
    </cacheField>
    <cacheField name="coefficient_of_variation" numFmtId="0">
      <sharedItems containsString="0" containsBlank="1" containsNumber="1" minValue="2.6092501150795099E-2" maxValue="1.33299183750707"/>
    </cacheField>
    <cacheField name="risk_percentage" numFmtId="0">
      <sharedItems containsString="0" containsBlank="1" containsNumber="1" minValue="40" maxValue="70"/>
    </cacheField>
    <cacheField name="inventory_priority" numFmtId="0">
      <sharedItems containsBlank="1" count="4">
        <s v="High Priority"/>
        <s v="Medium Priority"/>
        <s v="Low Priority"/>
        <m/>
      </sharedItems>
    </cacheField>
    <cacheField name="Lead_Time_Days" numFmtId="0">
      <sharedItems containsString="0" containsBlank="1" containsNumber="1" containsInteger="1" minValue="14" maxValue="14"/>
    </cacheField>
    <cacheField name="Safety_Stock" numFmtId="2">
      <sharedItems containsString="0" containsBlank="1" containsNumber="1" minValue="0" maxValue="444.74035234055327"/>
    </cacheField>
    <cacheField name="Reorder_Point" numFmtId="2">
      <sharedItems containsString="0" containsBlank="1" containsNumber="1" minValue="4.9577438297879208" maxValue="1438.4405440723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s v="Field &amp; Stream Sportsman 16 Gun Fire Safe"/>
    <n v="6929653.5"/>
    <s v="A"/>
    <n v="509.55882352941097"/>
    <n v="90.182371178081397"/>
    <n v="0.176981276770837"/>
    <n v="54.926406926406898"/>
    <x v="0"/>
    <n v="14"/>
    <n v="101.65037491612233"/>
    <n v="339.4444925631808"/>
  </r>
  <r>
    <s v="Perfect Fitness Perfect Rip Deck"/>
    <n v="4421143.0199999996"/>
    <s v="A"/>
    <n v="2167.5882352941098"/>
    <n v="378.73738544026003"/>
    <n v="0.17472755169704501"/>
    <n v="54.9581888639608"/>
    <x v="0"/>
    <n v="14"/>
    <n v="426.89936760180683"/>
    <n v="1438.4405440723913"/>
  </r>
  <r>
    <s v="Diamondback Women's Serene Classic Comfort Bi"/>
    <n v="4118425.42"/>
    <s v="A"/>
    <n v="403.79411764705799"/>
    <n v="71.108870610500404"/>
    <n v="0.176101799166509"/>
    <n v="54.534197683735101"/>
    <x v="0"/>
    <n v="14"/>
    <n v="80.151400578566793"/>
    <n v="268.58865548052717"/>
  </r>
  <r>
    <s v="Nike Men's Free 5.0+ Running Shoe"/>
    <n v="3667633.1999999899"/>
    <s v="A"/>
    <n v="1078.8235294117601"/>
    <n v="200.05051946616101"/>
    <n v="0.18543396024671399"/>
    <n v="54.4744843454679"/>
    <x v="0"/>
    <n v="14"/>
    <n v="225.48986060418335"/>
    <n v="728.94084099633801"/>
  </r>
  <r>
    <s v="Nike Men's Dri-FIT Victory Golf Polo"/>
    <n v="3147800"/>
    <s v="A"/>
    <n v="1851.64705882352"/>
    <n v="329.715936725056"/>
    <n v="0.17806629786917699"/>
    <n v="54.556691228904199"/>
    <x v="0"/>
    <n v="14"/>
    <n v="371.64412674112884"/>
    <n v="1235.7460875254383"/>
  </r>
  <r>
    <s v="Pelican Sunstream 100 Kayak"/>
    <n v="3099845"/>
    <s v="A"/>
    <n v="455.88235294117601"/>
    <n v="80.602565830985299"/>
    <n v="0.17680562827441901"/>
    <n v="54.7870967741935"/>
    <x v="0"/>
    <n v="14"/>
    <n v="90.852357604813605"/>
    <n v="303.59745564402908"/>
  </r>
  <r>
    <s v="Nike Men's CJ Elite 2 TD Football Cleat"/>
    <n v="2891757.54"/>
    <s v="A"/>
    <n v="654.29411764705799"/>
    <n v="114.85604413107799"/>
    <n v="0.17554191766864399"/>
    <n v="54.486199766250103"/>
    <x v="0"/>
    <n v="14"/>
    <n v="129.46166523224429"/>
    <n v="434.79892013420465"/>
  </r>
  <r>
    <s v="O'Brien Men's Neoprene Life Vest"/>
    <n v="2888993.94"/>
    <s v="B"/>
    <n v="1700.0882352941101"/>
    <n v="306.66172930614198"/>
    <n v="0.18037989025498399"/>
    <n v="54.746605865892803"/>
    <x v="1"/>
    <n v="14"/>
    <n v="345.65824062044732"/>
    <n v="1139.0327504243653"/>
  </r>
  <r>
    <s v="Under Armour Girls' Toddler Spine Surge Runni"/>
    <n v="1269082.6499999999"/>
    <s v="B"/>
    <n v="933.38235294117601"/>
    <n v="172.346904343304"/>
    <n v="0.18464769962729899"/>
    <n v="55.241593670528403"/>
    <x v="1"/>
    <n v="14"/>
    <n v="194.2633267818523"/>
    <n v="629.84175815440108"/>
  </r>
  <r>
    <s v="Dell Laptop"/>
    <n v="663000"/>
    <s v="B"/>
    <n v="221"/>
    <n v="182.433549546129"/>
    <n v="0.82549117441687403"/>
    <n v="50.678733031674199"/>
    <x v="1"/>
    <n v="14"/>
    <n v="205.63263602842781"/>
    <n v="308.76596936176111"/>
  </r>
  <r>
    <s v="Web Camera"/>
    <n v="267607.67999999999"/>
    <s v="B"/>
    <n v="296"/>
    <n v="394.56558390209301"/>
    <n v="1.33299183750707"/>
    <n v="58.108108108108098"/>
    <x v="0"/>
    <n v="14"/>
    <n v="444.74035234055327"/>
    <n v="582.8736856738866"/>
  </r>
  <r>
    <s v="Lawn mower"/>
    <n v="257768.72"/>
    <s v="B"/>
    <n v="242"/>
    <n v="206.47518010647099"/>
    <n v="0.85320322358046197"/>
    <n v="55.785123966942102"/>
    <x v="1"/>
    <n v="14"/>
    <n v="232.73151054380136"/>
    <n v="345.66484387713467"/>
  </r>
  <r>
    <s v="Children's heaters"/>
    <n v="232829.2"/>
    <s v="B"/>
    <n v="326"/>
    <n v="277.18585822512603"/>
    <n v="0.85026336878873199"/>
    <n v="53.374233128834298"/>
    <x v="1"/>
    <n v="14"/>
    <n v="312.43408264784358"/>
    <n v="464.56741598117691"/>
  </r>
  <r>
    <s v="Porcelain crafts"/>
    <n v="223356.32"/>
    <s v="B"/>
    <n v="242"/>
    <n v="15.556349186104001"/>
    <n v="6.4282434653322507E-2"/>
    <n v="55.991735537190003"/>
    <x v="1"/>
    <n v="14"/>
    <n v="17.534565862889167"/>
    <n v="130.4678991962225"/>
  </r>
  <r>
    <s v="Summer dresses"/>
    <n v="140283"/>
    <s v="B"/>
    <n v="325"/>
    <n v="74.953318805774003"/>
    <n v="0.23062559632545801"/>
    <n v="56.461538461538403"/>
    <x v="1"/>
    <n v="14"/>
    <n v="84.484726430284368"/>
    <n v="236.15139309695104"/>
  </r>
  <r>
    <s v="Smart watch "/>
    <n v="117006.75"/>
    <s v="B"/>
    <n v="178.5"/>
    <n v="47.376154339498598"/>
    <n v="0.26541262935293303"/>
    <n v="55.462184873949496"/>
    <x v="1"/>
    <n v="14"/>
    <n v="53.400723309707978"/>
    <n v="136.70072330970797"/>
  </r>
  <r>
    <s v="Rock music"/>
    <n v="113122.099999999"/>
    <s v="B"/>
    <n v="217"/>
    <n v="103.237590053235"/>
    <n v="0.47574926291813702"/>
    <n v="57.142857142857103"/>
    <x v="1"/>
    <n v="14"/>
    <n v="116.36575527190011"/>
    <n v="217.63242193856678"/>
  </r>
  <r>
    <s v="Industrial consumer electronics"/>
    <n v="108991.28"/>
    <s v="B"/>
    <n v="143.666666666666"/>
    <n v="93.5218334579328"/>
    <n v="0.65096403799025204"/>
    <n v="55.220417633410598"/>
    <x v="1"/>
    <n v="14"/>
    <n v="105.41449852842814"/>
    <n v="172.45894297287228"/>
  </r>
  <r>
    <s v="First aid kit"/>
    <n v="106080.48"/>
    <s v="B"/>
    <n v="181"/>
    <n v="82.024386617639493"/>
    <n v="0.45317340672729001"/>
    <n v="55.801104972375597"/>
    <x v="1"/>
    <n v="14"/>
    <n v="92.454983640688596"/>
    <n v="176.92165030735526"/>
  </r>
  <r>
    <s v="DVDs "/>
    <n v="79395.539999999994"/>
    <s v="B"/>
    <n v="161"/>
    <n v="185.547837497503"/>
    <n v="1.1524710403571601"/>
    <n v="53.623188405797102"/>
    <x v="0"/>
    <n v="14"/>
    <n v="209.14295111239039"/>
    <n v="284.27628444572372"/>
  </r>
  <r>
    <s v="adidas Youth Germany Black/Red Away Match Soc"/>
    <n v="67830"/>
    <s v="B"/>
    <n v="34.607142857142797"/>
    <n v="9.6698817860723398"/>
    <n v="0.27941866874099602"/>
    <n v="51.592356687897997"/>
    <x v="1"/>
    <n v="14"/>
    <n v="10.8995482831986"/>
    <n v="27.049548283198568"/>
  </r>
  <r>
    <s v="LIJA Women's Eyelet Sleeveless Golf Polo"/>
    <n v="61490"/>
    <s v="B"/>
    <n v="33.785714285714199"/>
    <n v="11.0432051938004"/>
    <n v="0.32686019601100602"/>
    <n v="56.634304207119698"/>
    <x v="1"/>
    <n v="14"/>
    <n v="12.447509791118822"/>
    <n v="28.214176457785449"/>
  </r>
  <r>
    <s v="adidas Men's F10 Messi TRX FG Soccer Cleat"/>
    <n v="56330.61"/>
    <s v="B"/>
    <n v="33.535714285714199"/>
    <n v="11.026843149390899"/>
    <n v="0.32880895440143298"/>
    <n v="51.8032786885245"/>
    <x v="1"/>
    <n v="14"/>
    <n v="12.429067074134416"/>
    <n v="28.079067074134375"/>
  </r>
  <r>
    <s v="Titleist Pro V1x High Numbers Personalized Go"/>
    <n v="47206.92"/>
    <s v="C"/>
    <n v="32.428571428571402"/>
    <n v="12.7872290787812"/>
    <n v="0.39431983943378102"/>
    <n v="55.5555555555555"/>
    <x v="1"/>
    <n v="14"/>
    <n v="14.413311748364963"/>
    <n v="29.546645081698284"/>
  </r>
  <r>
    <s v="Under Armour Women's Micro G Skulpt Running S"/>
    <n v="46559.59"/>
    <s v="C"/>
    <n v="30.25"/>
    <n v="10.444296689262099"/>
    <n v="0.34526600625660098"/>
    <n v="57.142857142857103"/>
    <x v="1"/>
    <n v="14"/>
    <n v="11.772441335593792"/>
    <n v="25.889108002260457"/>
  </r>
  <r>
    <s v="Nike Men's Comfort 2 Slide"/>
    <n v="44585.09"/>
    <s v="C"/>
    <n v="35.392857142857103"/>
    <n v="10.067694155488899"/>
    <n v="0.28445553617930303"/>
    <n v="55.792682926829201"/>
    <x v="1"/>
    <n v="14"/>
    <n v="11.347948297183734"/>
    <n v="27.864614963850382"/>
  </r>
  <r>
    <s v="Titleist Pro V1 High Numbers Personalized Gol"/>
    <n v="44243.49"/>
    <s v="C"/>
    <n v="30.3928571428571"/>
    <n v="10.268034850084"/>
    <n v="0.33784368484412702"/>
    <n v="59.931506849314999"/>
    <x v="1"/>
    <n v="14"/>
    <n v="11.573765232916488"/>
    <n v="25.757098566249802"/>
  </r>
  <r>
    <s v="Men's gala suit"/>
    <n v="43856.799999999901"/>
    <s v="C"/>
    <n v="104"/>
    <n v="103.237590053235"/>
    <n v="0.99266913512726795"/>
    <n v="54.326923076923002"/>
    <x v="1"/>
    <n v="14"/>
    <n v="116.36575527190011"/>
    <n v="164.89908860523343"/>
  </r>
  <r>
    <s v="Adult dog supplies"/>
    <n v="41524.800000000003"/>
    <s v="C"/>
    <n v="164"/>
    <n v="71.126647608333101"/>
    <n v="0.43369907078251901"/>
    <n v="58.943089430894297"/>
    <x v="1"/>
    <n v="14"/>
    <n v="80.171438180938196"/>
    <n v="156.70477151427153"/>
  </r>
  <r>
    <s v="Titleist Pro V1x Golf Balls"/>
    <n v="41415.370000000003"/>
    <s v="C"/>
    <n v="30.821428571428498"/>
    <n v="9.4518411744644499"/>
    <n v="0.30666460357474401"/>
    <n v="51.890034364261098"/>
    <x v="1"/>
    <n v="14"/>
    <n v="10.653780627864764"/>
    <n v="25.03711396119806"/>
  </r>
  <r>
    <s v="Titleist Pro V1x High Numbers Golf Balls"/>
    <n v="38392"/>
    <s v="C"/>
    <n v="28.571428571428498"/>
    <n v="8.5436941070422794"/>
    <n v="0.29902929374647902"/>
    <n v="55.471698113207502"/>
    <x v="1"/>
    <n v="14"/>
    <n v="9.6301494161709513"/>
    <n v="22.963482749504252"/>
  </r>
  <r>
    <s v="Under Armour Men's Compression EV SL Slide"/>
    <n v="36576.870000000003"/>
    <s v="C"/>
    <n v="29.035714285714199"/>
    <n v="9.8111129087344793"/>
    <n v="0.33789810755789101"/>
    <n v="52.857142857142797"/>
    <x v="1"/>
    <n v="14"/>
    <n v="11.058739002858015"/>
    <n v="24.608739002857973"/>
  </r>
  <r>
    <s v="TYR Boys' Team Digi Jammer"/>
    <n v="35191.199999999997"/>
    <s v="C"/>
    <n v="31.428571428571399"/>
    <n v="11.5098301671306"/>
    <n v="0.36622186895415598"/>
    <n v="52.3333333333333"/>
    <x v="1"/>
    <n v="14"/>
    <n v="12.973472935185816"/>
    <n v="27.640139601852468"/>
  </r>
  <r>
    <s v="Clicgear Rovic Cooler Bag"/>
    <n v="34671.33"/>
    <s v="C"/>
    <n v="30.964285714285701"/>
    <n v="11.1437813346216"/>
    <n v="0.359891438719039"/>
    <n v="57.746478873239397"/>
    <x v="1"/>
    <n v="14"/>
    <n v="12.560875655073577"/>
    <n v="27.010875655073573"/>
  </r>
  <r>
    <s v="Fighting video games"/>
    <n v="33310.5"/>
    <s v="C"/>
    <n v="419"/>
    <n v="270.11479041326101"/>
    <n v="0.64466537091470399"/>
    <n v="54.295942720763698"/>
    <x v="1"/>
    <n v="14"/>
    <n v="304.46382543743994"/>
    <n v="499.99715877077324"/>
  </r>
  <r>
    <s v="SOLE E35 Elliptical"/>
    <n v="29999.85"/>
    <s v="C"/>
    <n v="7.5"/>
    <n v="2.1213203435596402"/>
    <n v="0.28284271247461901"/>
    <n v="40"/>
    <x v="2"/>
    <n v="14"/>
    <n v="2.3910771631212544"/>
    <n v="5.8910771631212544"/>
  </r>
  <r>
    <s v="ENO Atlas Hammock Straps"/>
    <n v="29930.019999999899"/>
    <s v="C"/>
    <n v="35.642857142857103"/>
    <n v="10.705534344836099"/>
    <n v="0.30035567300141403"/>
    <n v="58.204334365325003"/>
    <x v="1"/>
    <n v="14"/>
    <n v="12.066899169030755"/>
    <n v="28.70023250236407"/>
  </r>
  <r>
    <s v="Bridgestone e6 Straight Distance NFL Carolina"/>
    <n v="29686.719999999899"/>
    <s v="C"/>
    <n v="33.142857142857103"/>
    <n v="12.1463735960323"/>
    <n v="0.366485410225113"/>
    <n v="58.441558441558399"/>
    <x v="1"/>
    <n v="14"/>
    <n v="13.690962144584406"/>
    <n v="29.157628811251055"/>
  </r>
  <r>
    <s v="Under Armour Hustle Storm Medium Duffle Bag"/>
    <n v="29601.54"/>
    <s v="C"/>
    <n v="30.214285714285701"/>
    <n v="11.5192500490753"/>
    <n v="0.38125177467388699"/>
    <n v="56.8561872909698"/>
    <x v="1"/>
    <n v="14"/>
    <n v="12.984090692501749"/>
    <n v="27.084090692501743"/>
  </r>
  <r>
    <s v="Under Armour Women's Ignite Slide"/>
    <n v="29398.809999999899"/>
    <s v="C"/>
    <n v="32.821428571428498"/>
    <n v="14.676899388541599"/>
    <n v="0.44717430128309799"/>
    <n v="55.627009646302199"/>
    <x v="1"/>
    <n v="14"/>
    <n v="16.543281197446113"/>
    <n v="31.859947864112748"/>
  </r>
  <r>
    <s v="Bridgestone e6 Straight Distance NFL San Dieg"/>
    <n v="28982.94"/>
    <s v="C"/>
    <n v="32.357142857142797"/>
    <n v="9.0275885206047395"/>
    <n v="0.27899832072509101"/>
    <n v="56.129032258064498"/>
    <x v="1"/>
    <n v="14"/>
    <n v="10.175578061657667"/>
    <n v="25.27557806165764"/>
  </r>
  <r>
    <s v="Columbia Men's PFG Anchor Tough T-Shirt"/>
    <n v="27840"/>
    <s v="C"/>
    <n v="33.142857142857103"/>
    <n v="11.689546725408199"/>
    <n v="0.35270184085283401"/>
    <n v="53.289473684210499"/>
    <x v="1"/>
    <n v="14"/>
    <n v="13.176043074880624"/>
    <n v="28.642709741547272"/>
  </r>
  <r>
    <s v="adidas Kids' F5 Messi FG Soccer Cleat"/>
    <n v="27327.19"/>
    <s v="C"/>
    <n v="27.8928571428571"/>
    <n v="11.911212538066099"/>
    <n v="0.42703450840697998"/>
    <n v="59.160305343511403"/>
    <x v="1"/>
    <n v="14"/>
    <n v="13.425896928448838"/>
    <n v="26.442563595115484"/>
  </r>
  <r>
    <s v="Nike Women's Tempo Shorts"/>
    <n v="27210"/>
    <s v="C"/>
    <n v="32.392857142857103"/>
    <n v="12.3057929318894"/>
    <n v="0.37989217430309102"/>
    <n v="55.345911949685501"/>
    <x v="1"/>
    <n v="14"/>
    <n v="13.87065397400807"/>
    <n v="28.987320640674717"/>
  </r>
  <r>
    <s v="Nike Men's Deutschland Weltmeister Winners Bl"/>
    <n v="27210"/>
    <s v="C"/>
    <n v="32.392857142857103"/>
    <n v="12.4672587076124"/>
    <n v="0.38487678479950299"/>
    <n v="56.711409395973099"/>
    <x v="1"/>
    <n v="14"/>
    <n v="14.052652477972385"/>
    <n v="29.169319144639033"/>
  </r>
  <r>
    <s v="Under Armour Women's Ignite PIP VI Slide"/>
    <n v="27127.519999999899"/>
    <s v="C"/>
    <n v="30.285714285714199"/>
    <n v="10.413158139289999"/>
    <n v="0.34383069327844401"/>
    <n v="60"/>
    <x v="1"/>
    <n v="14"/>
    <n v="11.737343064860168"/>
    <n v="25.87067639819346"/>
  </r>
  <r>
    <s v="Bridgestone e6 Straight Distance NFL Tennesse"/>
    <n v="25751.949999999899"/>
    <s v="C"/>
    <n v="28.75"/>
    <n v="10.970077146155001"/>
    <n v="0.38156790073582603"/>
    <n v="56.809338521400697"/>
    <x v="1"/>
    <n v="14"/>
    <n v="12.365082445697174"/>
    <n v="25.78174911236384"/>
  </r>
  <r>
    <s v="Team Golf St. Louis Cardinals Putter Grip"/>
    <n v="23940.42"/>
    <s v="C"/>
    <n v="34.214285714285701"/>
    <n v="11.412654259578501"/>
    <n v="0.33356400758684801"/>
    <n v="62.9392971246006"/>
    <x v="1"/>
    <n v="14"/>
    <n v="12.863939693750197"/>
    <n v="28.830606360416859"/>
  </r>
  <r>
    <s v="Team Golf Tennessee Volunteers Putter Grip"/>
    <n v="22865.85"/>
    <s v="C"/>
    <n v="32.678571428571402"/>
    <n v="10.428073119934901"/>
    <n v="0.31911043427123198"/>
    <n v="55.6666666666666"/>
    <x v="1"/>
    <n v="14"/>
    <n v="11.754154702817958"/>
    <n v="27.004154702817942"/>
  </r>
  <r>
    <s v="LIJA Women's Mid-Length Panel Golf Shorts"/>
    <n v="22700"/>
    <s v="C"/>
    <n v="37.8333333333333"/>
    <n v="21.065770023112499"/>
    <n v="0.55680449400297405"/>
    <n v="56.164383561643803"/>
    <x v="1"/>
    <n v="14"/>
    <n v="23.744589910124748"/>
    <n v="41.400145465680289"/>
  </r>
  <r>
    <s v="Team Golf Texas Longhorns Putter Grip"/>
    <n v="22366.05"/>
    <s v="C"/>
    <n v="31.964285714285701"/>
    <n v="8.9089307786651695"/>
    <n v="0.27871515285209397"/>
    <n v="56.521739130434703"/>
    <x v="1"/>
    <n v="14"/>
    <n v="10.04183125729565"/>
    <n v="24.958497923962312"/>
  </r>
  <r>
    <s v="Under Armour Kids' Mercenary Slide"/>
    <n v="22252.05"/>
    <s v="C"/>
    <n v="28.3928571428571"/>
    <n v="9.8632850275347597"/>
    <n v="0.34738613933455698"/>
    <n v="53.784860557768901"/>
    <x v="1"/>
    <n v="14"/>
    <n v="11.117545567455265"/>
    <n v="24.367545567455245"/>
  </r>
  <r>
    <s v="Team Golf Pittsburgh Steelers Putter Grip"/>
    <n v="22166.13"/>
    <s v="C"/>
    <n v="31.678571428571399"/>
    <n v="10.3853656702987"/>
    <n v="0.327835669411911"/>
    <n v="55.593220338983002"/>
    <x v="1"/>
    <n v="14"/>
    <n v="11.706016378104154"/>
    <n v="26.48934971143747"/>
  </r>
  <r>
    <s v="Team Golf San Francisco Giants Putter Grip"/>
    <n v="21766.29"/>
    <s v="C"/>
    <n v="31.107142857142801"/>
    <n v="10.733606917542501"/>
    <n v="0.34505280561560397"/>
    <n v="55.4794520547945"/>
    <x v="1"/>
    <n v="14"/>
    <n v="12.09854157877435"/>
    <n v="26.615208245440989"/>
  </r>
  <r>
    <s v="adidas Men's Germany Black Crest Away Tee"/>
    <n v="21475"/>
    <s v="C"/>
    <n v="30.678571428571399"/>
    <n v="10.360371691561101"/>
    <n v="0.33770710985298202"/>
    <n v="60.8996539792387"/>
    <x v="1"/>
    <n v="14"/>
    <n v="11.677844050451498"/>
    <n v="25.99451071711815"/>
  </r>
  <r>
    <s v="Bag Boy Beverage Holder"/>
    <n v="21116.55"/>
    <s v="C"/>
    <n v="30.178571428571399"/>
    <n v="9.3375132363575997"/>
    <n v="0.30940872262486702"/>
    <n v="55.5555555555555"/>
    <x v="1"/>
    <n v="14"/>
    <n v="10.524914225039762"/>
    <n v="24.608247558373083"/>
  </r>
  <r>
    <s v="Under Armour Men's Tech II T-Shirt"/>
    <n v="20866.6499999999"/>
    <s v="C"/>
    <n v="29.821428571428498"/>
    <n v="10.1509115497577"/>
    <n v="0.34038984837510999"/>
    <n v="60"/>
    <x v="1"/>
    <n v="14"/>
    <n v="11.441747996797556"/>
    <n v="25.358414663464188"/>
  </r>
  <r>
    <s v="Merrell Women's Grassbow Sport Hiking Shoe"/>
    <n v="20697.93"/>
    <s v="C"/>
    <n v="34.5"/>
    <n v="17.558473737771099"/>
    <n v="0.50894126776148296"/>
    <n v="51.428571428571402"/>
    <x v="1"/>
    <n v="14"/>
    <n v="19.791289750796853"/>
    <n v="35.891289750796851"/>
  </r>
  <r>
    <s v="Nike Men's Free TR 5.0 TB Training Shoe"/>
    <n v="20597.939999999999"/>
    <s v="C"/>
    <n v="34.3333333333333"/>
    <n v="21.125024654817899"/>
    <n v="0.61529198023741605"/>
    <n v="57.352941176470502"/>
    <x v="1"/>
    <n v="14"/>
    <n v="23.811379632436182"/>
    <n v="39.833601854658383"/>
  </r>
  <r>
    <s v="Team Golf New England Patriots Putter Grip"/>
    <n v="20566.77"/>
    <s v="C"/>
    <n v="29.3928571428571"/>
    <n v="12.9681641115186"/>
    <n v="0.44120120914036698"/>
    <n v="55.160142348754398"/>
    <x v="1"/>
    <n v="14"/>
    <n v="14.617255309317681"/>
    <n v="28.333921975984325"/>
  </r>
  <r>
    <s v="Glove It Women's Mod Oval 3-Zip Carry All Gol"/>
    <n v="20450.7"/>
    <s v="C"/>
    <n v="33.214285714285701"/>
    <n v="12.9824871863974"/>
    <n v="0.39087058195605101"/>
    <n v="56.271186440677901"/>
    <x v="1"/>
    <n v="14"/>
    <n v="14.633399772058702"/>
    <n v="30.133399772058695"/>
  </r>
  <r>
    <s v="Nike Women's Legend V-Neck T-Shirt"/>
    <n v="20025"/>
    <s v="C"/>
    <n v="28.607142857142801"/>
    <n v="10.242754569158601"/>
    <n v="0.35804884885947902"/>
    <n v="57.347670250896002"/>
    <x v="1"/>
    <n v="14"/>
    <n v="11.545270195577348"/>
    <n v="24.895270195577325"/>
  </r>
  <r>
    <s v="Nike Women's Free 5.0 TR FIT PRT 4 Training S"/>
    <n v="19567.939999999999"/>
    <s v="C"/>
    <n v="34.3333333333333"/>
    <n v="16.070677231114601"/>
    <n v="0.46807797760528003"/>
    <n v="60"/>
    <x v="1"/>
    <n v="14"/>
    <n v="18.114298219914513"/>
    <n v="34.136520442136714"/>
  </r>
  <r>
    <s v="Nike Dri-FIT Crew Sock 6 Pack"/>
    <n v="19426"/>
    <s v="C"/>
    <n v="31.535714285714199"/>
    <n v="11.902325147438299"/>
    <n v="0.37742367398445498"/>
    <n v="50.324675324675297"/>
    <x v="1"/>
    <n v="14"/>
    <n v="13.415879376486735"/>
    <n v="28.132546043153361"/>
  </r>
  <r>
    <s v="TaylorMade White Smoke IN-12 Putter"/>
    <n v="19298.07"/>
    <s v="C"/>
    <n v="32.1666666666666"/>
    <n v="18.723425612495799"/>
    <n v="0.58207540764235799"/>
    <n v="53.968253968253897"/>
    <x v="1"/>
    <n v="14"/>
    <n v="21.104382246348649"/>
    <n v="36.115493357459727"/>
  </r>
  <r>
    <s v="Garmin Approach S3 Golf GPS Watch"/>
    <n v="19249.23"/>
    <s v="C"/>
    <n v="12.8333333333333"/>
    <n v="7.9854033502802197"/>
    <n v="0.62223922209975702"/>
    <n v="61.038961038960998"/>
    <x v="1"/>
    <n v="14"/>
    <n v="9.0008638474315248"/>
    <n v="14.989752736320398"/>
  </r>
  <r>
    <s v="Brooks Women's Ghost 6 Running Shoe"/>
    <n v="19077.88"/>
    <s v="C"/>
    <n v="35.3333333333333"/>
    <n v="16.621271511730502"/>
    <n v="0.47041334467161999"/>
    <n v="48.484848484848399"/>
    <x v="2"/>
    <n v="14"/>
    <n v="18.734908593318423"/>
    <n v="35.223797482207296"/>
  </r>
  <r>
    <s v="Glove It Women's Imperial Golf Glove"/>
    <n v="18810.59"/>
    <s v="C"/>
    <n v="33.607142857142797"/>
    <n v="11.9856064470998"/>
    <n v="0.35663866155026103"/>
    <n v="52.442996742670999"/>
    <x v="1"/>
    <n v="14"/>
    <n v="13.509751107995953"/>
    <n v="29.193084441329258"/>
  </r>
  <r>
    <s v="Fitbit The One Wireless Activity &amp; Sleep Trac"/>
    <n v="18690.650000000001"/>
    <s v="C"/>
    <n v="31.1666666666666"/>
    <n v="14.958832396502901"/>
    <n v="0.479962536786191"/>
    <n v="51.612903225806399"/>
    <x v="1"/>
    <n v="14"/>
    <n v="16.86106609915273"/>
    <n v="31.405510543597146"/>
  </r>
  <r>
    <s v="Nike Kids' Grade School KD VI Basketball Shoe"/>
    <n v="18598.14"/>
    <s v="C"/>
    <n v="31"/>
    <n v="14.8727939540625"/>
    <n v="0.47976754690524398"/>
    <n v="60.317460317460302"/>
    <x v="1"/>
    <n v="14"/>
    <n v="16.764086613949399"/>
    <n v="31.230753280616067"/>
  </r>
  <r>
    <s v="Elevation Training Mask 2.0"/>
    <n v="18477.689999999999"/>
    <s v="C"/>
    <n v="38.5"/>
    <n v="23.939507096011798"/>
    <n v="0.62180537911719003"/>
    <n v="50"/>
    <x v="2"/>
    <n v="14"/>
    <n v="26.983764563159063"/>
    <n v="44.950431229825732"/>
  </r>
  <r>
    <s v="The North Face Women's Recon Backpack"/>
    <n v="17919"/>
    <s v="C"/>
    <n v="30.1666666666666"/>
    <n v="15.0786825242348"/>
    <n v="0.499845829532648"/>
    <n v="50.877192982456101"/>
    <x v="1"/>
    <n v="14"/>
    <n v="16.996156918550632"/>
    <n v="31.073934696328379"/>
  </r>
  <r>
    <s v="Top Flite Women's 2014 XL Hybrid"/>
    <n v="17731.13"/>
    <s v="C"/>
    <n v="31.678571428571399"/>
    <n v="9.4831373595395192"/>
    <n v="0.29935495610722201"/>
    <n v="54.455445544554401"/>
    <x v="1"/>
    <n v="14"/>
    <n v="10.68905657930369"/>
    <n v="25.472389912637006"/>
  </r>
  <r>
    <s v="Polar FT4 Heart Rate Monitor"/>
    <n v="17638.04"/>
    <s v="C"/>
    <n v="32.6666666666666"/>
    <n v="22.0967569264511"/>
    <n v="0.67643133448319803"/>
    <n v="53.3333333333333"/>
    <x v="1"/>
    <n v="14"/>
    <n v="24.906681834399325"/>
    <n v="40.151126278843734"/>
  </r>
  <r>
    <s v="Bag Boy M330 Push Cart"/>
    <n v="16637.919999999998"/>
    <s v="C"/>
    <n v="34.6666666666666"/>
    <n v="23.235031023578699"/>
    <n v="0.67024127952630896"/>
    <n v="55.072463768115902"/>
    <x v="1"/>
    <n v="14"/>
    <n v="26.189704083857027"/>
    <n v="42.367481861634772"/>
  </r>
  <r>
    <s v="Glove It Women's Mod Oval Golf Glove"/>
    <n v="16031.98"/>
    <s v="C"/>
    <n v="28.6428571428571"/>
    <n v="10.4747112952852"/>
    <n v="0.36570064372567002"/>
    <n v="51.985559566786897"/>
    <x v="1"/>
    <n v="14"/>
    <n v="11.806723602347114"/>
    <n v="25.173390269013762"/>
  </r>
  <r>
    <s v="Hirzl Women's Soffft Flex Golf Glove"/>
    <n v="15993.109999999901"/>
    <s v="C"/>
    <n v="31.75"/>
    <n v="12.2342112915351"/>
    <n v="0.385329489497169"/>
    <n v="61.409395973154297"/>
    <x v="1"/>
    <n v="14"/>
    <n v="13.789969684117786"/>
    <n v="28.606636350784452"/>
  </r>
  <r>
    <s v="LIJA Women's Argyle Golf Polo"/>
    <n v="15600"/>
    <s v="C"/>
    <n v="32.5"/>
    <n v="19.3157966441977"/>
    <n v="0.59433220443685297"/>
    <n v="50"/>
    <x v="2"/>
    <n v="14"/>
    <n v="21.772081894021959"/>
    <n v="36.938748560688623"/>
  </r>
  <r>
    <s v="Glove It Imperial Golf Towel"/>
    <n v="14870.7"/>
    <s v="C"/>
    <n v="33.214285714285701"/>
    <n v="12.254574785548501"/>
    <n v="0.36895493977995703"/>
    <n v="54.635761589403899"/>
    <x v="1"/>
    <n v="14"/>
    <n v="13.812922693381392"/>
    <n v="29.312922693381388"/>
  </r>
  <r>
    <s v="Glove It Urban Brick Golf Towel"/>
    <n v="14151.15"/>
    <s v="C"/>
    <n v="31.607142857142801"/>
    <n v="11.823828062556901"/>
    <n v="0.37408721553852597"/>
    <n v="54.6666666666666"/>
    <x v="1"/>
    <n v="14"/>
    <n v="13.32740024244112"/>
    <n v="28.077400242441094"/>
  </r>
  <r>
    <s v="Garmin Forerunner 910XT GPS Watch"/>
    <n v="13999.65"/>
    <s v="C"/>
    <n v="35"/>
    <m/>
    <m/>
    <n v="54.285714285714199"/>
    <x v="1"/>
    <n v="14"/>
    <n v="0"/>
    <n v="16.333333333333336"/>
  </r>
  <r>
    <s v="Pelican Maverick 100X Kayak"/>
    <n v="13999.6"/>
    <s v="C"/>
    <n v="40"/>
    <m/>
    <m/>
    <n v="62.5"/>
    <x v="1"/>
    <n v="14"/>
    <n v="0"/>
    <n v="18.666666666666664"/>
  </r>
  <r>
    <s v="Cleveland Golf Collegiate My Custom Wedge 588"/>
    <n v="13649.35"/>
    <s v="C"/>
    <n v="10.8333333333333"/>
    <n v="6.1128280416405101"/>
    <n v="0.56426104999758597"/>
    <n v="55.384615384615302"/>
    <x v="1"/>
    <n v="14"/>
    <n v="6.8901632781814275"/>
    <n v="11.945718833736969"/>
  </r>
  <r>
    <s v="Titleist Small Wheeled Travel Cover"/>
    <n v="13499.46"/>
    <s v="C"/>
    <n v="9"/>
    <n v="4.8166378315169096"/>
    <n v="0.53518198127965699"/>
    <n v="62.962962962962898"/>
    <x v="1"/>
    <n v="14"/>
    <n v="5.4291435788713382"/>
    <n v="9.6291435788713393"/>
  </r>
  <r>
    <s v="Mio ALPHA Heart Rate Monitor/Sport Watch"/>
    <n v="13333"/>
    <s v="C"/>
    <n v="11.1666666666666"/>
    <n v="5.7763887219149801"/>
    <n v="0.51728854226104304"/>
    <n v="61.194029850746197"/>
    <x v="1"/>
    <n v="14"/>
    <n v="6.5109407922357789"/>
    <n v="11.722051903346859"/>
  </r>
  <r>
    <s v="Hirzl Women's Hybrid Golf Glove"/>
    <n v="13311.12"/>
    <s v="C"/>
    <n v="31.714285714285701"/>
    <n v="12.5899935070649"/>
    <n v="0.396981777249794"/>
    <n v="53.054662379421202"/>
    <x v="1"/>
    <n v="14"/>
    <n v="14.190994797170955"/>
    <n v="28.990994797170949"/>
  </r>
  <r>
    <s v="Hirzl Men's Hybrid Golf Glove"/>
    <n v="12951.36"/>
    <s v="C"/>
    <n v="30.857142857142801"/>
    <n v="9.6252533808467895"/>
    <n v="0.31192950771262701"/>
    <n v="53.900709219858101"/>
    <x v="1"/>
    <n v="14"/>
    <n v="10.849244725376552"/>
    <n v="25.249244725376528"/>
  </r>
  <r>
    <s v="GoPro HERO3+ Black Edition Camera"/>
    <n v="12799.68"/>
    <s v="C"/>
    <n v="32"/>
    <m/>
    <m/>
    <n v="65.625"/>
    <x v="1"/>
    <n v="14"/>
    <n v="0"/>
    <n v="14.933333333333334"/>
  </r>
  <r>
    <s v="Nike Men's Kobe IX Elite Low Basketball Shoe"/>
    <n v="12599.37"/>
    <s v="C"/>
    <n v="10.5"/>
    <n v="7.2594765651526103"/>
    <n v="0.69137872049072502"/>
    <n v="49.206349206349202"/>
    <x v="2"/>
    <n v="14"/>
    <n v="8.1826248844731921"/>
    <n v="13.082624884473191"/>
  </r>
  <r>
    <s v="Sports Books "/>
    <n v="12587.4"/>
    <s v="C"/>
    <n v="202.5"/>
    <n v="149.199530830361"/>
    <n v="0.73678780656968601"/>
    <n v="56.543209876543202"/>
    <x v="1"/>
    <n v="14"/>
    <n v="168.1724271395278"/>
    <n v="262.67242713952783"/>
  </r>
  <r>
    <s v="Baby sweater"/>
    <n v="12229.56"/>
    <s v="C"/>
    <n v="103.5"/>
    <n v="30.405591591021501"/>
    <n v="0.29377383179730898"/>
    <n v="52.657004830917799"/>
    <x v="1"/>
    <n v="14"/>
    <n v="34.272106004737971"/>
    <n v="82.572106004737975"/>
  </r>
  <r>
    <s v="Yakima DoubleDown Ace Hitch Mount 4-Bike Rack"/>
    <n v="12096"/>
    <s v="C"/>
    <n v="10.6666666666666"/>
    <n v="7.0332543439482302"/>
    <n v="0.65936759474514595"/>
    <n v="57.8125"/>
    <x v="1"/>
    <n v="14"/>
    <n v="7.9276352085599884"/>
    <n v="12.905412986337735"/>
  </r>
  <r>
    <s v="GolfBuddy VT3 GPS Watch"/>
    <n v="11799.41"/>
    <s v="C"/>
    <n v="9.8333333333333304"/>
    <n v="5.1929439306299701"/>
    <n v="0.52809599294541998"/>
    <n v="50.847457627118601"/>
    <x v="1"/>
    <n v="14"/>
    <n v="5.8533024866309411"/>
    <n v="10.44219137551983"/>
  </r>
  <r>
    <s v="TaylorMade 2014 Purelite Stand Bag"/>
    <n v="11699.35"/>
    <s v="C"/>
    <n v="10.8333333333333"/>
    <n v="5.7763887219149801"/>
    <n v="0.53320511279215199"/>
    <n v="56.923076923076898"/>
    <x v="1"/>
    <n v="14"/>
    <n v="6.5109407922357789"/>
    <n v="11.566496347791318"/>
  </r>
  <r>
    <s v="MDGolf Pittsburgh Penguins Putter"/>
    <n v="11598.55"/>
    <s v="C"/>
    <n v="29"/>
    <n v="18.124568960391802"/>
    <n v="0.62498513656523602"/>
    <n v="50.943396226414997"/>
    <x v="1"/>
    <n v="14"/>
    <n v="20.429372237051172"/>
    <n v="33.962705570384507"/>
  </r>
  <r>
    <s v="Total Gym 1400"/>
    <n v="10799.64"/>
    <s v="C"/>
    <n v="36"/>
    <m/>
    <m/>
    <n v="63.8888888888888"/>
    <x v="1"/>
    <n v="14"/>
    <n v="0"/>
    <n v="16.8"/>
  </r>
  <r>
    <s v="Garmin Approach S4 Golf GPS Watch"/>
    <n v="10799.64"/>
    <s v="C"/>
    <n v="36"/>
    <m/>
    <m/>
    <n v="52.7777777777777"/>
    <x v="1"/>
    <n v="14"/>
    <n v="0"/>
    <n v="16.8"/>
  </r>
  <r>
    <s v="adidas Brazuca 2014 Official Match Ball"/>
    <n v="10399.35"/>
    <s v="C"/>
    <n v="10.8333333333333"/>
    <n v="4.6224091842530104"/>
    <n v="0.42668392470027799"/>
    <n v="55.384615384615302"/>
    <x v="1"/>
    <n v="14"/>
    <n v="5.2102159264276073"/>
    <n v="10.265771481983148"/>
  </r>
  <r>
    <s v="Ogio Race Golf Shoes"/>
    <n v="10369.39"/>
    <s v="C"/>
    <n v="12.2"/>
    <n v="5.4037024344425104"/>
    <n v="0.44292642905266499"/>
    <n v="68.852459016393396"/>
    <x v="1"/>
    <n v="14"/>
    <n v="6.0908620079591262"/>
    <n v="11.78419534129246"/>
  </r>
  <r>
    <s v="Titleist Club Glove Travel Cover"/>
    <n v="10199.66"/>
    <s v="C"/>
    <n v="34"/>
    <m/>
    <m/>
    <n v="61.764705882352899"/>
    <x v="1"/>
    <n v="14"/>
    <n v="0"/>
    <n v="15.866666666666667"/>
  </r>
  <r>
    <s v="SOLE E25 Elliptical"/>
    <n v="9999.9"/>
    <s v="C"/>
    <n v="5"/>
    <n v="4.2426406871192803"/>
    <n v="0.84852813742385602"/>
    <n v="70"/>
    <x v="1"/>
    <n v="14"/>
    <n v="4.7821543262425088"/>
    <n v="7.1154876595758418"/>
  </r>
  <r>
    <s v="Merrell Women's Siren Mid Waterproof Hiking B"/>
    <n v="9449.2999999999993"/>
    <s v="C"/>
    <n v="11.6666666666666"/>
    <n v="8.3346665600170606"/>
    <n v="0.71439999085860495"/>
    <n v="47.142857142857103"/>
    <x v="2"/>
    <n v="14"/>
    <n v="9.3945409680303129"/>
    <n v="14.838985412474727"/>
  </r>
  <r>
    <s v="Merrell Men's All Out Flash Trail Running Sho"/>
    <n v="9349.15"/>
    <s v="C"/>
    <n v="14.1666666666666"/>
    <n v="7.7824589087682696"/>
    <n v="0.549350040618937"/>
    <n v="48.235294117647001"/>
    <x v="2"/>
    <n v="14"/>
    <n v="8.7721120603877321"/>
    <n v="15.383223171498813"/>
  </r>
  <r>
    <s v="insta-bed Neverflat Air Mattress"/>
    <n v="8999.4"/>
    <s v="C"/>
    <n v="10"/>
    <n v="6.13188388670235"/>
    <n v="0.61318838867023495"/>
    <n v="50"/>
    <x v="2"/>
    <n v="14"/>
    <n v="6.9116423518581946"/>
    <n v="11.578309018524861"/>
  </r>
  <r>
    <s v="Stiga Master Series ST3100 Competition Indoor"/>
    <n v="8909.73"/>
    <s v="C"/>
    <n v="27"/>
    <m/>
    <m/>
    <n v="51.851851851851798"/>
    <x v="1"/>
    <n v="14"/>
    <n v="0"/>
    <n v="12.6"/>
  </r>
  <r>
    <s v="Clicgear 8.0 Shoe Brush"/>
    <n v="8871.1200000000008"/>
    <s v="C"/>
    <n v="31.714285714285701"/>
    <n v="10.117301436637501"/>
    <n v="0.319014009263346"/>
    <n v="53.684210526315702"/>
    <x v="1"/>
    <n v="14"/>
    <n v="11.403863867615645"/>
    <n v="26.203863867615638"/>
  </r>
  <r>
    <s v="TaylorMade Women's RBZ SL Rescue"/>
    <n v="8839.32"/>
    <s v="C"/>
    <n v="11.3333333333333"/>
    <n v="7.9916623218618703"/>
    <n v="0.70514667545840004"/>
    <n v="42.647058823529399"/>
    <x v="2"/>
    <n v="14"/>
    <n v="9.0079187385322239"/>
    <n v="14.296807627421098"/>
  </r>
  <r>
    <s v="Diamondback Boys' Insight 24 Performance Hybr"/>
    <n v="8699.7099999999991"/>
    <s v="C"/>
    <n v="29"/>
    <m/>
    <m/>
    <n v="62.068965517241303"/>
    <x v="1"/>
    <n v="14"/>
    <n v="0"/>
    <n v="13.533333333333333"/>
  </r>
  <r>
    <s v="Diamondback Girls' Clarity 24 Hybrid Bike 201"/>
    <n v="8399.7199999999993"/>
    <s v="C"/>
    <n v="28"/>
    <m/>
    <m/>
    <n v="42.857142857142797"/>
    <x v="2"/>
    <n v="14"/>
    <n v="0"/>
    <n v="13.066666666666666"/>
  </r>
  <r>
    <s v="Cleveland Golf Women's 588 RTX CB Satin Chrom"/>
    <n v="8399.2999999999993"/>
    <s v="C"/>
    <n v="11.6666666666666"/>
    <n v="5.6803755744375399"/>
    <n v="0.48688933495178899"/>
    <n v="50"/>
    <x v="2"/>
    <n v="14"/>
    <n v="6.4027181727763036"/>
    <n v="11.847162617220718"/>
  </r>
  <r>
    <s v="LIJA Women's Button Golf Dress"/>
    <n v="8208"/>
    <s v="C"/>
    <n v="12.6666666666666"/>
    <n v="6.8019605016985096"/>
    <n v="0.53699688171304005"/>
    <n v="55.2631578947368"/>
    <x v="1"/>
    <n v="14"/>
    <n v="7.6669289810197121"/>
    <n v="13.578040092130792"/>
  </r>
  <r>
    <s v="Nike Men's Fingertrap Max Training Shoe"/>
    <n v="7999.36"/>
    <s v="C"/>
    <n v="10.6666666666666"/>
    <n v="6.1535897382476401"/>
    <n v="0.57689903796071595"/>
    <n v="59.375"/>
    <x v="1"/>
    <n v="14"/>
    <n v="6.9361084189911546"/>
    <n v="11.913886196768901"/>
  </r>
  <r>
    <s v="Merrell Women's Grassbow Sport Waterproof Hik"/>
    <n v="7539.42"/>
    <s v="C"/>
    <n v="9.6666666666666607"/>
    <n v="5.81950742474538"/>
    <n v="0.60201800945641903"/>
    <n v="43.103448275862"/>
    <x v="2"/>
    <n v="14"/>
    <n v="6.5595426669852461"/>
    <n v="11.070653778096354"/>
  </r>
  <r>
    <s v="Bushnell Pro X7 Jolt Slope Rangefinder"/>
    <n v="6599.89"/>
    <s v="C"/>
    <n v="5.5"/>
    <n v="2.1213203435596402"/>
    <n v="0.38569460791993498"/>
    <n v="54.545454545454497"/>
    <x v="1"/>
    <n v="14"/>
    <n v="2.3910771631212544"/>
    <n v="4.9577438297879208"/>
  </r>
  <r>
    <s v="Toys "/>
    <n v="6104.66"/>
    <s v="C"/>
    <n v="264.5"/>
    <n v="16.263455967290501"/>
    <n v="6.1487546190134502E-2"/>
    <n v="55.009451795841201"/>
    <x v="1"/>
    <n v="14"/>
    <n v="18.331591583929534"/>
    <n v="141.76492491726287"/>
  </r>
  <r>
    <s v="Bowflex SelectTech 1090 Dumbbells"/>
    <n v="5999.9"/>
    <s v="C"/>
    <n v="5"/>
    <n v="2.8284271247461898"/>
    <n v="0.56568542494923801"/>
    <n v="60"/>
    <x v="1"/>
    <n v="14"/>
    <n v="3.1881028841616761"/>
    <n v="5.5214362174950091"/>
  </r>
  <r>
    <s v="Polar Loop Activity Tracker"/>
    <n v="5937.3"/>
    <s v="C"/>
    <n v="9"/>
    <n v="4"/>
    <n v="0.44444444444444398"/>
    <n v="48.148148148148103"/>
    <x v="2"/>
    <n v="14"/>
    <n v="4.5086583370222231"/>
    <n v="8.7086583370222233"/>
  </r>
  <r>
    <s v="CDs of rock"/>
    <n v="3059.5899999999901"/>
    <s v="C"/>
    <n v="135.5"/>
    <n v="3.5355339059327302"/>
    <n v="2.6092501150795099E-2"/>
    <n v="52.0295202952029"/>
    <x v="1"/>
    <n v="14"/>
    <n v="3.9851286052020867"/>
    <n v="67.218461938535427"/>
  </r>
  <r>
    <m/>
    <m/>
    <m/>
    <m/>
    <m/>
    <m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2B8EB-9370-4D94-ADA7-073D2A08955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1">
    <pivotField dataField="1"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roduct_name" fld="0" subtotal="count" baseField="0" baseItem="0"/>
    <dataField name="Sum of Reorder_Point" fld="10" baseField="0" baseItem="0"/>
    <dataField name="Average of coefficient_of_variation" fld="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3024-5786-40E6-888E-52FCACD2AA86}">
  <dimension ref="A3:D7"/>
  <sheetViews>
    <sheetView tabSelected="1" zoomScale="63" workbookViewId="0">
      <selection activeCell="C3" sqref="C3:C7"/>
      <pivotSelection pane="bottomRight" showHeader="1" extendable="1" axis="axisCol" start="1" max="3" activeRow="2" activeCol="2" previousRow="2" previousCol="2" click="1" r:id="rId1">
        <pivotArea dataOnly="0" outline="0" fieldPosition="0">
          <references count="1">
            <reference field="4294967294" count="1">
              <x v="1"/>
            </reference>
          </references>
        </pivotArea>
      </pivotSelection>
    </sheetView>
  </sheetViews>
  <sheetFormatPr defaultRowHeight="14.4" x14ac:dyDescent="0.3"/>
  <cols>
    <col min="1" max="1" width="16.5546875" bestFit="1" customWidth="1"/>
    <col min="2" max="2" width="21.77734375" bestFit="1" customWidth="1"/>
    <col min="3" max="3" width="20.5546875" bestFit="1" customWidth="1"/>
    <col min="4" max="4" width="32.88671875" bestFit="1" customWidth="1"/>
  </cols>
  <sheetData>
    <row r="3" spans="1:4" x14ac:dyDescent="0.3">
      <c r="A3" s="3" t="s">
        <v>135</v>
      </c>
      <c r="B3" t="s">
        <v>137</v>
      </c>
      <c r="C3" t="s">
        <v>138</v>
      </c>
      <c r="D3" t="s">
        <v>139</v>
      </c>
    </row>
    <row r="4" spans="1:4" x14ac:dyDescent="0.3">
      <c r="A4" s="4" t="s">
        <v>10</v>
      </c>
      <c r="B4" s="5">
        <v>9</v>
      </c>
      <c r="C4" s="5">
        <v>5616.7069665357194</v>
      </c>
      <c r="D4" s="5">
        <v>0.41434681217306385</v>
      </c>
    </row>
    <row r="5" spans="1:4" x14ac:dyDescent="0.3">
      <c r="A5" s="4" t="s">
        <v>49</v>
      </c>
      <c r="B5" s="5">
        <v>13</v>
      </c>
      <c r="C5" s="5">
        <v>236.87714594924157</v>
      </c>
      <c r="D5" s="5">
        <v>0.5646841038041529</v>
      </c>
    </row>
    <row r="6" spans="1:4" x14ac:dyDescent="0.3">
      <c r="A6" s="4" t="s">
        <v>19</v>
      </c>
      <c r="B6" s="5">
        <v>96</v>
      </c>
      <c r="C6" s="5">
        <v>7224.1079592283832</v>
      </c>
      <c r="D6" s="5">
        <v>0.42982272389831755</v>
      </c>
    </row>
    <row r="7" spans="1:4" x14ac:dyDescent="0.3">
      <c r="A7" s="4" t="s">
        <v>136</v>
      </c>
      <c r="B7" s="5">
        <v>118</v>
      </c>
      <c r="C7" s="5">
        <v>13077.692071713338</v>
      </c>
      <c r="D7" s="5">
        <v>0.44339202071797557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3D20-751B-4AB5-9FAA-204D6AD5B97F}">
  <dimension ref="A1:K119"/>
  <sheetViews>
    <sheetView zoomScale="62" zoomScaleNormal="99" workbookViewId="0">
      <selection sqref="A1:XFD1048576"/>
    </sheetView>
  </sheetViews>
  <sheetFormatPr defaultColWidth="25.21875" defaultRowHeight="14.4" x14ac:dyDescent="0.3"/>
  <cols>
    <col min="10" max="11" width="25.21875" style="2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132</v>
      </c>
      <c r="J1" s="2" t="s">
        <v>133</v>
      </c>
      <c r="K1" s="2" t="s">
        <v>134</v>
      </c>
    </row>
    <row r="2" spans="1:11" x14ac:dyDescent="0.3">
      <c r="A2" t="s">
        <v>8</v>
      </c>
      <c r="B2">
        <v>6929653.5</v>
      </c>
      <c r="C2" t="s">
        <v>9</v>
      </c>
      <c r="D2">
        <v>509.55882352941097</v>
      </c>
      <c r="E2">
        <v>90.182371178081397</v>
      </c>
      <c r="F2">
        <v>0.176981276770837</v>
      </c>
      <c r="G2">
        <v>54.926406926406898</v>
      </c>
      <c r="H2" t="s">
        <v>10</v>
      </c>
      <c r="I2">
        <v>14</v>
      </c>
      <c r="J2" s="2">
        <f>1.65*E2*SQRT(I2/30)</f>
        <v>101.65037491612233</v>
      </c>
      <c r="K2" s="2">
        <f>(D2/30*I2)+J2</f>
        <v>339.4444925631808</v>
      </c>
    </row>
    <row r="3" spans="1:11" x14ac:dyDescent="0.3">
      <c r="A3" t="s">
        <v>11</v>
      </c>
      <c r="B3">
        <v>4421143.0199999996</v>
      </c>
      <c r="C3" t="s">
        <v>9</v>
      </c>
      <c r="D3">
        <v>2167.5882352941098</v>
      </c>
      <c r="E3">
        <v>378.73738544026003</v>
      </c>
      <c r="F3">
        <v>0.17472755169704501</v>
      </c>
      <c r="G3">
        <v>54.9581888639608</v>
      </c>
      <c r="H3" t="s">
        <v>10</v>
      </c>
      <c r="I3">
        <v>14</v>
      </c>
      <c r="J3" s="2">
        <f t="shared" ref="J3:J66" si="0">1.65*E3*SQRT(I3/30)</f>
        <v>426.89936760180683</v>
      </c>
      <c r="K3" s="2">
        <f t="shared" ref="K3:K66" si="1">(D3/30*I3)+J3</f>
        <v>1438.4405440723913</v>
      </c>
    </row>
    <row r="4" spans="1:11" x14ac:dyDescent="0.3">
      <c r="A4" t="s">
        <v>12</v>
      </c>
      <c r="B4">
        <v>4118425.42</v>
      </c>
      <c r="C4" t="s">
        <v>9</v>
      </c>
      <c r="D4">
        <v>403.79411764705799</v>
      </c>
      <c r="E4">
        <v>71.108870610500404</v>
      </c>
      <c r="F4">
        <v>0.176101799166509</v>
      </c>
      <c r="G4">
        <v>54.534197683735101</v>
      </c>
      <c r="H4" t="s">
        <v>10</v>
      </c>
      <c r="I4">
        <v>14</v>
      </c>
      <c r="J4" s="2">
        <f t="shared" si="0"/>
        <v>80.151400578566793</v>
      </c>
      <c r="K4" s="2">
        <f t="shared" si="1"/>
        <v>268.58865548052717</v>
      </c>
    </row>
    <row r="5" spans="1:11" x14ac:dyDescent="0.3">
      <c r="A5" t="s">
        <v>13</v>
      </c>
      <c r="B5">
        <v>3667633.1999999899</v>
      </c>
      <c r="C5" t="s">
        <v>9</v>
      </c>
      <c r="D5">
        <v>1078.8235294117601</v>
      </c>
      <c r="E5">
        <v>200.05051946616101</v>
      </c>
      <c r="F5">
        <v>0.18543396024671399</v>
      </c>
      <c r="G5">
        <v>54.4744843454679</v>
      </c>
      <c r="H5" t="s">
        <v>10</v>
      </c>
      <c r="I5">
        <v>14</v>
      </c>
      <c r="J5" s="2">
        <f t="shared" si="0"/>
        <v>225.48986060418335</v>
      </c>
      <c r="K5" s="2">
        <f t="shared" si="1"/>
        <v>728.94084099633801</v>
      </c>
    </row>
    <row r="6" spans="1:11" x14ac:dyDescent="0.3">
      <c r="A6" t="s">
        <v>14</v>
      </c>
      <c r="B6">
        <v>3147800</v>
      </c>
      <c r="C6" t="s">
        <v>9</v>
      </c>
      <c r="D6">
        <v>1851.64705882352</v>
      </c>
      <c r="E6">
        <v>329.715936725056</v>
      </c>
      <c r="F6">
        <v>0.17806629786917699</v>
      </c>
      <c r="G6">
        <v>54.556691228904199</v>
      </c>
      <c r="H6" t="s">
        <v>10</v>
      </c>
      <c r="I6">
        <v>14</v>
      </c>
      <c r="J6" s="2">
        <f t="shared" si="0"/>
        <v>371.64412674112884</v>
      </c>
      <c r="K6" s="2">
        <f t="shared" si="1"/>
        <v>1235.7460875254383</v>
      </c>
    </row>
    <row r="7" spans="1:11" x14ac:dyDescent="0.3">
      <c r="A7" t="s">
        <v>15</v>
      </c>
      <c r="B7">
        <v>3099845</v>
      </c>
      <c r="C7" t="s">
        <v>9</v>
      </c>
      <c r="D7">
        <v>455.88235294117601</v>
      </c>
      <c r="E7">
        <v>80.602565830985299</v>
      </c>
      <c r="F7">
        <v>0.17680562827441901</v>
      </c>
      <c r="G7">
        <v>54.7870967741935</v>
      </c>
      <c r="H7" t="s">
        <v>10</v>
      </c>
      <c r="I7">
        <v>14</v>
      </c>
      <c r="J7" s="2">
        <f t="shared" si="0"/>
        <v>90.852357604813605</v>
      </c>
      <c r="K7" s="2">
        <f t="shared" si="1"/>
        <v>303.59745564402908</v>
      </c>
    </row>
    <row r="8" spans="1:11" x14ac:dyDescent="0.3">
      <c r="A8" t="s">
        <v>16</v>
      </c>
      <c r="B8">
        <v>2891757.54</v>
      </c>
      <c r="C8" t="s">
        <v>9</v>
      </c>
      <c r="D8">
        <v>654.29411764705799</v>
      </c>
      <c r="E8">
        <v>114.85604413107799</v>
      </c>
      <c r="F8">
        <v>0.17554191766864399</v>
      </c>
      <c r="G8">
        <v>54.486199766250103</v>
      </c>
      <c r="H8" t="s">
        <v>10</v>
      </c>
      <c r="I8">
        <v>14</v>
      </c>
      <c r="J8" s="2">
        <f t="shared" si="0"/>
        <v>129.46166523224429</v>
      </c>
      <c r="K8" s="2">
        <f t="shared" si="1"/>
        <v>434.79892013420465</v>
      </c>
    </row>
    <row r="9" spans="1:11" x14ac:dyDescent="0.3">
      <c r="A9" t="s">
        <v>17</v>
      </c>
      <c r="B9">
        <v>2888993.94</v>
      </c>
      <c r="C9" t="s">
        <v>18</v>
      </c>
      <c r="D9">
        <v>1700.0882352941101</v>
      </c>
      <c r="E9">
        <v>306.66172930614198</v>
      </c>
      <c r="F9">
        <v>0.18037989025498399</v>
      </c>
      <c r="G9">
        <v>54.746605865892803</v>
      </c>
      <c r="H9" t="s">
        <v>19</v>
      </c>
      <c r="I9">
        <v>14</v>
      </c>
      <c r="J9" s="2">
        <f t="shared" si="0"/>
        <v>345.65824062044732</v>
      </c>
      <c r="K9" s="2">
        <f t="shared" si="1"/>
        <v>1139.0327504243653</v>
      </c>
    </row>
    <row r="10" spans="1:11" x14ac:dyDescent="0.3">
      <c r="A10" t="s">
        <v>20</v>
      </c>
      <c r="B10">
        <v>1269082.6499999999</v>
      </c>
      <c r="C10" t="s">
        <v>18</v>
      </c>
      <c r="D10">
        <v>933.38235294117601</v>
      </c>
      <c r="E10">
        <v>172.346904343304</v>
      </c>
      <c r="F10">
        <v>0.18464769962729899</v>
      </c>
      <c r="G10">
        <v>55.241593670528403</v>
      </c>
      <c r="H10" t="s">
        <v>19</v>
      </c>
      <c r="I10">
        <v>14</v>
      </c>
      <c r="J10" s="2">
        <f t="shared" si="0"/>
        <v>194.2633267818523</v>
      </c>
      <c r="K10" s="2">
        <f t="shared" si="1"/>
        <v>629.84175815440108</v>
      </c>
    </row>
    <row r="11" spans="1:11" x14ac:dyDescent="0.3">
      <c r="A11" t="s">
        <v>21</v>
      </c>
      <c r="B11">
        <v>663000</v>
      </c>
      <c r="C11" t="s">
        <v>18</v>
      </c>
      <c r="D11">
        <v>221</v>
      </c>
      <c r="E11">
        <v>182.433549546129</v>
      </c>
      <c r="F11">
        <v>0.82549117441687403</v>
      </c>
      <c r="G11">
        <v>50.678733031674199</v>
      </c>
      <c r="H11" t="s">
        <v>19</v>
      </c>
      <c r="I11">
        <v>14</v>
      </c>
      <c r="J11" s="2">
        <f t="shared" si="0"/>
        <v>205.63263602842781</v>
      </c>
      <c r="K11" s="2">
        <f t="shared" si="1"/>
        <v>308.76596936176111</v>
      </c>
    </row>
    <row r="12" spans="1:11" x14ac:dyDescent="0.3">
      <c r="A12" t="s">
        <v>22</v>
      </c>
      <c r="B12">
        <v>267607.67999999999</v>
      </c>
      <c r="C12" t="s">
        <v>18</v>
      </c>
      <c r="D12">
        <v>296</v>
      </c>
      <c r="E12">
        <v>394.56558390209301</v>
      </c>
      <c r="F12">
        <v>1.33299183750707</v>
      </c>
      <c r="G12">
        <v>58.108108108108098</v>
      </c>
      <c r="H12" t="s">
        <v>10</v>
      </c>
      <c r="I12">
        <v>14</v>
      </c>
      <c r="J12" s="2">
        <f t="shared" si="0"/>
        <v>444.74035234055327</v>
      </c>
      <c r="K12" s="2">
        <f t="shared" si="1"/>
        <v>582.8736856738866</v>
      </c>
    </row>
    <row r="13" spans="1:11" x14ac:dyDescent="0.3">
      <c r="A13" t="s">
        <v>23</v>
      </c>
      <c r="B13">
        <v>257768.72</v>
      </c>
      <c r="C13" t="s">
        <v>18</v>
      </c>
      <c r="D13">
        <v>242</v>
      </c>
      <c r="E13">
        <v>206.47518010647099</v>
      </c>
      <c r="F13">
        <v>0.85320322358046197</v>
      </c>
      <c r="G13">
        <v>55.785123966942102</v>
      </c>
      <c r="H13" t="s">
        <v>19</v>
      </c>
      <c r="I13">
        <v>14</v>
      </c>
      <c r="J13" s="2">
        <f t="shared" si="0"/>
        <v>232.73151054380136</v>
      </c>
      <c r="K13" s="2">
        <f t="shared" si="1"/>
        <v>345.66484387713467</v>
      </c>
    </row>
    <row r="14" spans="1:11" x14ac:dyDescent="0.3">
      <c r="A14" t="s">
        <v>24</v>
      </c>
      <c r="B14">
        <v>232829.2</v>
      </c>
      <c r="C14" t="s">
        <v>18</v>
      </c>
      <c r="D14">
        <v>326</v>
      </c>
      <c r="E14">
        <v>277.18585822512603</v>
      </c>
      <c r="F14">
        <v>0.85026336878873199</v>
      </c>
      <c r="G14">
        <v>53.374233128834298</v>
      </c>
      <c r="H14" t="s">
        <v>19</v>
      </c>
      <c r="I14">
        <v>14</v>
      </c>
      <c r="J14" s="2">
        <f t="shared" si="0"/>
        <v>312.43408264784358</v>
      </c>
      <c r="K14" s="2">
        <f t="shared" si="1"/>
        <v>464.56741598117691</v>
      </c>
    </row>
    <row r="15" spans="1:11" x14ac:dyDescent="0.3">
      <c r="A15" t="s">
        <v>25</v>
      </c>
      <c r="B15">
        <v>223356.32</v>
      </c>
      <c r="C15" t="s">
        <v>18</v>
      </c>
      <c r="D15">
        <v>242</v>
      </c>
      <c r="E15">
        <v>15.556349186104001</v>
      </c>
      <c r="F15">
        <v>6.4282434653322507E-2</v>
      </c>
      <c r="G15">
        <v>55.991735537190003</v>
      </c>
      <c r="H15" t="s">
        <v>19</v>
      </c>
      <c r="I15">
        <v>14</v>
      </c>
      <c r="J15" s="2">
        <f t="shared" si="0"/>
        <v>17.534565862889167</v>
      </c>
      <c r="K15" s="2">
        <f t="shared" si="1"/>
        <v>130.4678991962225</v>
      </c>
    </row>
    <row r="16" spans="1:11" x14ac:dyDescent="0.3">
      <c r="A16" t="s">
        <v>26</v>
      </c>
      <c r="B16">
        <v>140283</v>
      </c>
      <c r="C16" t="s">
        <v>18</v>
      </c>
      <c r="D16">
        <v>325</v>
      </c>
      <c r="E16">
        <v>74.953318805774003</v>
      </c>
      <c r="F16">
        <v>0.23062559632545801</v>
      </c>
      <c r="G16">
        <v>56.461538461538403</v>
      </c>
      <c r="H16" t="s">
        <v>19</v>
      </c>
      <c r="I16">
        <v>14</v>
      </c>
      <c r="J16" s="2">
        <f t="shared" si="0"/>
        <v>84.484726430284368</v>
      </c>
      <c r="K16" s="2">
        <f t="shared" si="1"/>
        <v>236.15139309695104</v>
      </c>
    </row>
    <row r="17" spans="1:11" x14ac:dyDescent="0.3">
      <c r="A17" t="s">
        <v>27</v>
      </c>
      <c r="B17">
        <v>117006.75</v>
      </c>
      <c r="C17" t="s">
        <v>18</v>
      </c>
      <c r="D17">
        <v>178.5</v>
      </c>
      <c r="E17">
        <v>47.376154339498598</v>
      </c>
      <c r="F17">
        <v>0.26541262935293303</v>
      </c>
      <c r="G17">
        <v>55.462184873949496</v>
      </c>
      <c r="H17" t="s">
        <v>19</v>
      </c>
      <c r="I17">
        <v>14</v>
      </c>
      <c r="J17" s="2">
        <f t="shared" si="0"/>
        <v>53.400723309707978</v>
      </c>
      <c r="K17" s="2">
        <f t="shared" si="1"/>
        <v>136.70072330970797</v>
      </c>
    </row>
    <row r="18" spans="1:11" x14ac:dyDescent="0.3">
      <c r="A18" t="s">
        <v>28</v>
      </c>
      <c r="B18">
        <v>113122.099999999</v>
      </c>
      <c r="C18" t="s">
        <v>18</v>
      </c>
      <c r="D18">
        <v>217</v>
      </c>
      <c r="E18">
        <v>103.237590053235</v>
      </c>
      <c r="F18">
        <v>0.47574926291813702</v>
      </c>
      <c r="G18">
        <v>57.142857142857103</v>
      </c>
      <c r="H18" t="s">
        <v>19</v>
      </c>
      <c r="I18">
        <v>14</v>
      </c>
      <c r="J18" s="2">
        <f t="shared" si="0"/>
        <v>116.36575527190011</v>
      </c>
      <c r="K18" s="2">
        <f t="shared" si="1"/>
        <v>217.63242193856678</v>
      </c>
    </row>
    <row r="19" spans="1:11" x14ac:dyDescent="0.3">
      <c r="A19" t="s">
        <v>29</v>
      </c>
      <c r="B19">
        <v>108991.28</v>
      </c>
      <c r="C19" t="s">
        <v>18</v>
      </c>
      <c r="D19">
        <v>143.666666666666</v>
      </c>
      <c r="E19">
        <v>93.5218334579328</v>
      </c>
      <c r="F19">
        <v>0.65096403799025204</v>
      </c>
      <c r="G19">
        <v>55.220417633410598</v>
      </c>
      <c r="H19" t="s">
        <v>19</v>
      </c>
      <c r="I19">
        <v>14</v>
      </c>
      <c r="J19" s="2">
        <f t="shared" si="0"/>
        <v>105.41449852842814</v>
      </c>
      <c r="K19" s="2">
        <f t="shared" si="1"/>
        <v>172.45894297287228</v>
      </c>
    </row>
    <row r="20" spans="1:11" x14ac:dyDescent="0.3">
      <c r="A20" t="s">
        <v>30</v>
      </c>
      <c r="B20">
        <v>106080.48</v>
      </c>
      <c r="C20" t="s">
        <v>18</v>
      </c>
      <c r="D20">
        <v>181</v>
      </c>
      <c r="E20">
        <v>82.024386617639493</v>
      </c>
      <c r="F20">
        <v>0.45317340672729001</v>
      </c>
      <c r="G20">
        <v>55.801104972375597</v>
      </c>
      <c r="H20" t="s">
        <v>19</v>
      </c>
      <c r="I20">
        <v>14</v>
      </c>
      <c r="J20" s="2">
        <f t="shared" si="0"/>
        <v>92.454983640688596</v>
      </c>
      <c r="K20" s="2">
        <f t="shared" si="1"/>
        <v>176.92165030735526</v>
      </c>
    </row>
    <row r="21" spans="1:11" x14ac:dyDescent="0.3">
      <c r="A21" t="s">
        <v>31</v>
      </c>
      <c r="B21">
        <v>79395.539999999994</v>
      </c>
      <c r="C21" t="s">
        <v>18</v>
      </c>
      <c r="D21">
        <v>161</v>
      </c>
      <c r="E21">
        <v>185.547837497503</v>
      </c>
      <c r="F21">
        <v>1.1524710403571601</v>
      </c>
      <c r="G21">
        <v>53.623188405797102</v>
      </c>
      <c r="H21" t="s">
        <v>10</v>
      </c>
      <c r="I21">
        <v>14</v>
      </c>
      <c r="J21" s="2">
        <f t="shared" si="0"/>
        <v>209.14295111239039</v>
      </c>
      <c r="K21" s="2">
        <f t="shared" si="1"/>
        <v>284.27628444572372</v>
      </c>
    </row>
    <row r="22" spans="1:11" x14ac:dyDescent="0.3">
      <c r="A22" t="s">
        <v>32</v>
      </c>
      <c r="B22">
        <v>67830</v>
      </c>
      <c r="C22" t="s">
        <v>18</v>
      </c>
      <c r="D22">
        <v>34.607142857142797</v>
      </c>
      <c r="E22">
        <v>9.6698817860723398</v>
      </c>
      <c r="F22">
        <v>0.27941866874099602</v>
      </c>
      <c r="G22">
        <v>51.592356687897997</v>
      </c>
      <c r="H22" t="s">
        <v>19</v>
      </c>
      <c r="I22">
        <v>14</v>
      </c>
      <c r="J22" s="2">
        <f t="shared" si="0"/>
        <v>10.8995482831986</v>
      </c>
      <c r="K22" s="2">
        <f t="shared" si="1"/>
        <v>27.049548283198568</v>
      </c>
    </row>
    <row r="23" spans="1:11" x14ac:dyDescent="0.3">
      <c r="A23" t="s">
        <v>33</v>
      </c>
      <c r="B23">
        <v>61490</v>
      </c>
      <c r="C23" t="s">
        <v>18</v>
      </c>
      <c r="D23">
        <v>33.785714285714199</v>
      </c>
      <c r="E23">
        <v>11.0432051938004</v>
      </c>
      <c r="F23">
        <v>0.32686019601100602</v>
      </c>
      <c r="G23">
        <v>56.634304207119698</v>
      </c>
      <c r="H23" t="s">
        <v>19</v>
      </c>
      <c r="I23">
        <v>14</v>
      </c>
      <c r="J23" s="2">
        <f t="shared" si="0"/>
        <v>12.447509791118822</v>
      </c>
      <c r="K23" s="2">
        <f t="shared" si="1"/>
        <v>28.214176457785449</v>
      </c>
    </row>
    <row r="24" spans="1:11" x14ac:dyDescent="0.3">
      <c r="A24" t="s">
        <v>34</v>
      </c>
      <c r="B24">
        <v>56330.61</v>
      </c>
      <c r="C24" t="s">
        <v>18</v>
      </c>
      <c r="D24">
        <v>33.535714285714199</v>
      </c>
      <c r="E24">
        <v>11.026843149390899</v>
      </c>
      <c r="F24">
        <v>0.32880895440143298</v>
      </c>
      <c r="G24">
        <v>51.8032786885245</v>
      </c>
      <c r="H24" t="s">
        <v>19</v>
      </c>
      <c r="I24">
        <v>14</v>
      </c>
      <c r="J24" s="2">
        <f t="shared" si="0"/>
        <v>12.429067074134416</v>
      </c>
      <c r="K24" s="2">
        <f t="shared" si="1"/>
        <v>28.079067074134375</v>
      </c>
    </row>
    <row r="25" spans="1:11" x14ac:dyDescent="0.3">
      <c r="A25" t="s">
        <v>35</v>
      </c>
      <c r="B25">
        <v>47206.92</v>
      </c>
      <c r="C25" t="s">
        <v>36</v>
      </c>
      <c r="D25">
        <v>32.428571428571402</v>
      </c>
      <c r="E25">
        <v>12.7872290787812</v>
      </c>
      <c r="F25">
        <v>0.39431983943378102</v>
      </c>
      <c r="G25">
        <v>55.5555555555555</v>
      </c>
      <c r="H25" t="s">
        <v>19</v>
      </c>
      <c r="I25">
        <v>14</v>
      </c>
      <c r="J25" s="2">
        <f t="shared" si="0"/>
        <v>14.413311748364963</v>
      </c>
      <c r="K25" s="2">
        <f t="shared" si="1"/>
        <v>29.546645081698284</v>
      </c>
    </row>
    <row r="26" spans="1:11" x14ac:dyDescent="0.3">
      <c r="A26" t="s">
        <v>37</v>
      </c>
      <c r="B26">
        <v>46559.59</v>
      </c>
      <c r="C26" t="s">
        <v>36</v>
      </c>
      <c r="D26">
        <v>30.25</v>
      </c>
      <c r="E26">
        <v>10.444296689262099</v>
      </c>
      <c r="F26">
        <v>0.34526600625660098</v>
      </c>
      <c r="G26">
        <v>57.142857142857103</v>
      </c>
      <c r="H26" t="s">
        <v>19</v>
      </c>
      <c r="I26">
        <v>14</v>
      </c>
      <c r="J26" s="2">
        <f t="shared" si="0"/>
        <v>11.772441335593792</v>
      </c>
      <c r="K26" s="2">
        <f t="shared" si="1"/>
        <v>25.889108002260457</v>
      </c>
    </row>
    <row r="27" spans="1:11" x14ac:dyDescent="0.3">
      <c r="A27" t="s">
        <v>38</v>
      </c>
      <c r="B27">
        <v>44585.09</v>
      </c>
      <c r="C27" t="s">
        <v>36</v>
      </c>
      <c r="D27">
        <v>35.392857142857103</v>
      </c>
      <c r="E27">
        <v>10.067694155488899</v>
      </c>
      <c r="F27">
        <v>0.28445553617930303</v>
      </c>
      <c r="G27">
        <v>55.792682926829201</v>
      </c>
      <c r="H27" t="s">
        <v>19</v>
      </c>
      <c r="I27">
        <v>14</v>
      </c>
      <c r="J27" s="2">
        <f t="shared" si="0"/>
        <v>11.347948297183734</v>
      </c>
      <c r="K27" s="2">
        <f t="shared" si="1"/>
        <v>27.864614963850382</v>
      </c>
    </row>
    <row r="28" spans="1:11" x14ac:dyDescent="0.3">
      <c r="A28" t="s">
        <v>39</v>
      </c>
      <c r="B28">
        <v>44243.49</v>
      </c>
      <c r="C28" t="s">
        <v>36</v>
      </c>
      <c r="D28">
        <v>30.3928571428571</v>
      </c>
      <c r="E28">
        <v>10.268034850084</v>
      </c>
      <c r="F28">
        <v>0.33784368484412702</v>
      </c>
      <c r="G28">
        <v>59.931506849314999</v>
      </c>
      <c r="H28" t="s">
        <v>19</v>
      </c>
      <c r="I28">
        <v>14</v>
      </c>
      <c r="J28" s="2">
        <f t="shared" si="0"/>
        <v>11.573765232916488</v>
      </c>
      <c r="K28" s="2">
        <f t="shared" si="1"/>
        <v>25.757098566249802</v>
      </c>
    </row>
    <row r="29" spans="1:11" x14ac:dyDescent="0.3">
      <c r="A29" t="s">
        <v>40</v>
      </c>
      <c r="B29">
        <v>43856.799999999901</v>
      </c>
      <c r="C29" t="s">
        <v>36</v>
      </c>
      <c r="D29">
        <v>104</v>
      </c>
      <c r="E29">
        <v>103.237590053235</v>
      </c>
      <c r="F29">
        <v>0.99266913512726795</v>
      </c>
      <c r="G29">
        <v>54.326923076923002</v>
      </c>
      <c r="H29" t="s">
        <v>19</v>
      </c>
      <c r="I29">
        <v>14</v>
      </c>
      <c r="J29" s="2">
        <f t="shared" si="0"/>
        <v>116.36575527190011</v>
      </c>
      <c r="K29" s="2">
        <f t="shared" si="1"/>
        <v>164.89908860523343</v>
      </c>
    </row>
    <row r="30" spans="1:11" x14ac:dyDescent="0.3">
      <c r="A30" t="s">
        <v>41</v>
      </c>
      <c r="B30">
        <v>41524.800000000003</v>
      </c>
      <c r="C30" t="s">
        <v>36</v>
      </c>
      <c r="D30">
        <v>164</v>
      </c>
      <c r="E30">
        <v>71.126647608333101</v>
      </c>
      <c r="F30">
        <v>0.43369907078251901</v>
      </c>
      <c r="G30">
        <v>58.943089430894297</v>
      </c>
      <c r="H30" t="s">
        <v>19</v>
      </c>
      <c r="I30">
        <v>14</v>
      </c>
      <c r="J30" s="2">
        <f t="shared" si="0"/>
        <v>80.171438180938196</v>
      </c>
      <c r="K30" s="2">
        <f t="shared" si="1"/>
        <v>156.70477151427153</v>
      </c>
    </row>
    <row r="31" spans="1:11" x14ac:dyDescent="0.3">
      <c r="A31" t="s">
        <v>42</v>
      </c>
      <c r="B31">
        <v>41415.370000000003</v>
      </c>
      <c r="C31" t="s">
        <v>36</v>
      </c>
      <c r="D31">
        <v>30.821428571428498</v>
      </c>
      <c r="E31">
        <v>9.4518411744644499</v>
      </c>
      <c r="F31">
        <v>0.30666460357474401</v>
      </c>
      <c r="G31">
        <v>51.890034364261098</v>
      </c>
      <c r="H31" t="s">
        <v>19</v>
      </c>
      <c r="I31">
        <v>14</v>
      </c>
      <c r="J31" s="2">
        <f t="shared" si="0"/>
        <v>10.653780627864764</v>
      </c>
      <c r="K31" s="2">
        <f t="shared" si="1"/>
        <v>25.03711396119806</v>
      </c>
    </row>
    <row r="32" spans="1:11" x14ac:dyDescent="0.3">
      <c r="A32" t="s">
        <v>43</v>
      </c>
      <c r="B32">
        <v>38392</v>
      </c>
      <c r="C32" t="s">
        <v>36</v>
      </c>
      <c r="D32">
        <v>28.571428571428498</v>
      </c>
      <c r="E32">
        <v>8.5436941070422794</v>
      </c>
      <c r="F32">
        <v>0.29902929374647902</v>
      </c>
      <c r="G32">
        <v>55.471698113207502</v>
      </c>
      <c r="H32" t="s">
        <v>19</v>
      </c>
      <c r="I32">
        <v>14</v>
      </c>
      <c r="J32" s="2">
        <f t="shared" si="0"/>
        <v>9.6301494161709513</v>
      </c>
      <c r="K32" s="2">
        <f t="shared" si="1"/>
        <v>22.963482749504252</v>
      </c>
    </row>
    <row r="33" spans="1:11" x14ac:dyDescent="0.3">
      <c r="A33" t="s">
        <v>44</v>
      </c>
      <c r="B33">
        <v>36576.870000000003</v>
      </c>
      <c r="C33" t="s">
        <v>36</v>
      </c>
      <c r="D33">
        <v>29.035714285714199</v>
      </c>
      <c r="E33">
        <v>9.8111129087344793</v>
      </c>
      <c r="F33">
        <v>0.33789810755789101</v>
      </c>
      <c r="G33">
        <v>52.857142857142797</v>
      </c>
      <c r="H33" t="s">
        <v>19</v>
      </c>
      <c r="I33">
        <v>14</v>
      </c>
      <c r="J33" s="2">
        <f t="shared" si="0"/>
        <v>11.058739002858015</v>
      </c>
      <c r="K33" s="2">
        <f t="shared" si="1"/>
        <v>24.608739002857973</v>
      </c>
    </row>
    <row r="34" spans="1:11" x14ac:dyDescent="0.3">
      <c r="A34" t="s">
        <v>45</v>
      </c>
      <c r="B34">
        <v>35191.199999999997</v>
      </c>
      <c r="C34" t="s">
        <v>36</v>
      </c>
      <c r="D34">
        <v>31.428571428571399</v>
      </c>
      <c r="E34">
        <v>11.5098301671306</v>
      </c>
      <c r="F34">
        <v>0.36622186895415598</v>
      </c>
      <c r="G34">
        <v>52.3333333333333</v>
      </c>
      <c r="H34" t="s">
        <v>19</v>
      </c>
      <c r="I34">
        <v>14</v>
      </c>
      <c r="J34" s="2">
        <f t="shared" si="0"/>
        <v>12.973472935185816</v>
      </c>
      <c r="K34" s="2">
        <f t="shared" si="1"/>
        <v>27.640139601852468</v>
      </c>
    </row>
    <row r="35" spans="1:11" x14ac:dyDescent="0.3">
      <c r="A35" t="s">
        <v>46</v>
      </c>
      <c r="B35">
        <v>34671.33</v>
      </c>
      <c r="C35" t="s">
        <v>36</v>
      </c>
      <c r="D35">
        <v>30.964285714285701</v>
      </c>
      <c r="E35">
        <v>11.1437813346216</v>
      </c>
      <c r="F35">
        <v>0.359891438719039</v>
      </c>
      <c r="G35">
        <v>57.746478873239397</v>
      </c>
      <c r="H35" t="s">
        <v>19</v>
      </c>
      <c r="I35">
        <v>14</v>
      </c>
      <c r="J35" s="2">
        <f t="shared" si="0"/>
        <v>12.560875655073577</v>
      </c>
      <c r="K35" s="2">
        <f t="shared" si="1"/>
        <v>27.010875655073573</v>
      </c>
    </row>
    <row r="36" spans="1:11" x14ac:dyDescent="0.3">
      <c r="A36" t="s">
        <v>47</v>
      </c>
      <c r="B36">
        <v>33310.5</v>
      </c>
      <c r="C36" t="s">
        <v>36</v>
      </c>
      <c r="D36">
        <v>419</v>
      </c>
      <c r="E36">
        <v>270.11479041326101</v>
      </c>
      <c r="F36">
        <v>0.64466537091470399</v>
      </c>
      <c r="G36">
        <v>54.295942720763698</v>
      </c>
      <c r="H36" t="s">
        <v>19</v>
      </c>
      <c r="I36">
        <v>14</v>
      </c>
      <c r="J36" s="2">
        <f t="shared" si="0"/>
        <v>304.46382543743994</v>
      </c>
      <c r="K36" s="2">
        <f t="shared" si="1"/>
        <v>499.99715877077324</v>
      </c>
    </row>
    <row r="37" spans="1:11" x14ac:dyDescent="0.3">
      <c r="A37" t="s">
        <v>48</v>
      </c>
      <c r="B37">
        <v>29999.85</v>
      </c>
      <c r="C37" t="s">
        <v>36</v>
      </c>
      <c r="D37">
        <v>7.5</v>
      </c>
      <c r="E37">
        <v>2.1213203435596402</v>
      </c>
      <c r="F37">
        <v>0.28284271247461901</v>
      </c>
      <c r="G37">
        <v>40</v>
      </c>
      <c r="H37" t="s">
        <v>49</v>
      </c>
      <c r="I37">
        <v>14</v>
      </c>
      <c r="J37" s="2">
        <f t="shared" si="0"/>
        <v>2.3910771631212544</v>
      </c>
      <c r="K37" s="2">
        <f t="shared" si="1"/>
        <v>5.8910771631212544</v>
      </c>
    </row>
    <row r="38" spans="1:11" x14ac:dyDescent="0.3">
      <c r="A38" t="s">
        <v>50</v>
      </c>
      <c r="B38">
        <v>29930.019999999899</v>
      </c>
      <c r="C38" t="s">
        <v>36</v>
      </c>
      <c r="D38">
        <v>35.642857142857103</v>
      </c>
      <c r="E38">
        <v>10.705534344836099</v>
      </c>
      <c r="F38">
        <v>0.30035567300141403</v>
      </c>
      <c r="G38">
        <v>58.204334365325003</v>
      </c>
      <c r="H38" t="s">
        <v>19</v>
      </c>
      <c r="I38">
        <v>14</v>
      </c>
      <c r="J38" s="2">
        <f t="shared" si="0"/>
        <v>12.066899169030755</v>
      </c>
      <c r="K38" s="2">
        <f t="shared" si="1"/>
        <v>28.70023250236407</v>
      </c>
    </row>
    <row r="39" spans="1:11" x14ac:dyDescent="0.3">
      <c r="A39" t="s">
        <v>51</v>
      </c>
      <c r="B39">
        <v>29686.719999999899</v>
      </c>
      <c r="C39" t="s">
        <v>36</v>
      </c>
      <c r="D39">
        <v>33.142857142857103</v>
      </c>
      <c r="E39">
        <v>12.1463735960323</v>
      </c>
      <c r="F39">
        <v>0.366485410225113</v>
      </c>
      <c r="G39">
        <v>58.441558441558399</v>
      </c>
      <c r="H39" t="s">
        <v>19</v>
      </c>
      <c r="I39">
        <v>14</v>
      </c>
      <c r="J39" s="2">
        <f t="shared" si="0"/>
        <v>13.690962144584406</v>
      </c>
      <c r="K39" s="2">
        <f t="shared" si="1"/>
        <v>29.157628811251055</v>
      </c>
    </row>
    <row r="40" spans="1:11" x14ac:dyDescent="0.3">
      <c r="A40" t="s">
        <v>52</v>
      </c>
      <c r="B40">
        <v>29601.54</v>
      </c>
      <c r="C40" t="s">
        <v>36</v>
      </c>
      <c r="D40">
        <v>30.214285714285701</v>
      </c>
      <c r="E40">
        <v>11.5192500490753</v>
      </c>
      <c r="F40">
        <v>0.38125177467388699</v>
      </c>
      <c r="G40">
        <v>56.8561872909698</v>
      </c>
      <c r="H40" t="s">
        <v>19</v>
      </c>
      <c r="I40">
        <v>14</v>
      </c>
      <c r="J40" s="2">
        <f t="shared" si="0"/>
        <v>12.984090692501749</v>
      </c>
      <c r="K40" s="2">
        <f t="shared" si="1"/>
        <v>27.084090692501743</v>
      </c>
    </row>
    <row r="41" spans="1:11" x14ac:dyDescent="0.3">
      <c r="A41" t="s">
        <v>53</v>
      </c>
      <c r="B41">
        <v>29398.809999999899</v>
      </c>
      <c r="C41" t="s">
        <v>36</v>
      </c>
      <c r="D41">
        <v>32.821428571428498</v>
      </c>
      <c r="E41">
        <v>14.676899388541599</v>
      </c>
      <c r="F41">
        <v>0.44717430128309799</v>
      </c>
      <c r="G41">
        <v>55.627009646302199</v>
      </c>
      <c r="H41" t="s">
        <v>19</v>
      </c>
      <c r="I41">
        <v>14</v>
      </c>
      <c r="J41" s="2">
        <f t="shared" si="0"/>
        <v>16.543281197446113</v>
      </c>
      <c r="K41" s="2">
        <f t="shared" si="1"/>
        <v>31.859947864112748</v>
      </c>
    </row>
    <row r="42" spans="1:11" x14ac:dyDescent="0.3">
      <c r="A42" t="s">
        <v>54</v>
      </c>
      <c r="B42">
        <v>28982.94</v>
      </c>
      <c r="C42" t="s">
        <v>36</v>
      </c>
      <c r="D42">
        <v>32.357142857142797</v>
      </c>
      <c r="E42">
        <v>9.0275885206047395</v>
      </c>
      <c r="F42">
        <v>0.27899832072509101</v>
      </c>
      <c r="G42">
        <v>56.129032258064498</v>
      </c>
      <c r="H42" t="s">
        <v>19</v>
      </c>
      <c r="I42">
        <v>14</v>
      </c>
      <c r="J42" s="2">
        <f t="shared" si="0"/>
        <v>10.175578061657667</v>
      </c>
      <c r="K42" s="2">
        <f t="shared" si="1"/>
        <v>25.27557806165764</v>
      </c>
    </row>
    <row r="43" spans="1:11" x14ac:dyDescent="0.3">
      <c r="A43" t="s">
        <v>55</v>
      </c>
      <c r="B43">
        <v>27840</v>
      </c>
      <c r="C43" t="s">
        <v>36</v>
      </c>
      <c r="D43">
        <v>33.142857142857103</v>
      </c>
      <c r="E43">
        <v>11.689546725408199</v>
      </c>
      <c r="F43">
        <v>0.35270184085283401</v>
      </c>
      <c r="G43">
        <v>53.289473684210499</v>
      </c>
      <c r="H43" t="s">
        <v>19</v>
      </c>
      <c r="I43">
        <v>14</v>
      </c>
      <c r="J43" s="2">
        <f t="shared" si="0"/>
        <v>13.176043074880624</v>
      </c>
      <c r="K43" s="2">
        <f t="shared" si="1"/>
        <v>28.642709741547272</v>
      </c>
    </row>
    <row r="44" spans="1:11" x14ac:dyDescent="0.3">
      <c r="A44" t="s">
        <v>56</v>
      </c>
      <c r="B44">
        <v>27327.19</v>
      </c>
      <c r="C44" t="s">
        <v>36</v>
      </c>
      <c r="D44">
        <v>27.8928571428571</v>
      </c>
      <c r="E44">
        <v>11.911212538066099</v>
      </c>
      <c r="F44">
        <v>0.42703450840697998</v>
      </c>
      <c r="G44">
        <v>59.160305343511403</v>
      </c>
      <c r="H44" t="s">
        <v>19</v>
      </c>
      <c r="I44">
        <v>14</v>
      </c>
      <c r="J44" s="2">
        <f t="shared" si="0"/>
        <v>13.425896928448838</v>
      </c>
      <c r="K44" s="2">
        <f t="shared" si="1"/>
        <v>26.442563595115484</v>
      </c>
    </row>
    <row r="45" spans="1:11" x14ac:dyDescent="0.3">
      <c r="A45" t="s">
        <v>57</v>
      </c>
      <c r="B45">
        <v>27210</v>
      </c>
      <c r="C45" t="s">
        <v>36</v>
      </c>
      <c r="D45">
        <v>32.392857142857103</v>
      </c>
      <c r="E45">
        <v>12.3057929318894</v>
      </c>
      <c r="F45">
        <v>0.37989217430309102</v>
      </c>
      <c r="G45">
        <v>55.345911949685501</v>
      </c>
      <c r="H45" t="s">
        <v>19</v>
      </c>
      <c r="I45">
        <v>14</v>
      </c>
      <c r="J45" s="2">
        <f t="shared" si="0"/>
        <v>13.87065397400807</v>
      </c>
      <c r="K45" s="2">
        <f t="shared" si="1"/>
        <v>28.987320640674717</v>
      </c>
    </row>
    <row r="46" spans="1:11" x14ac:dyDescent="0.3">
      <c r="A46" t="s">
        <v>58</v>
      </c>
      <c r="B46">
        <v>27210</v>
      </c>
      <c r="C46" t="s">
        <v>36</v>
      </c>
      <c r="D46">
        <v>32.392857142857103</v>
      </c>
      <c r="E46">
        <v>12.4672587076124</v>
      </c>
      <c r="F46">
        <v>0.38487678479950299</v>
      </c>
      <c r="G46">
        <v>56.711409395973099</v>
      </c>
      <c r="H46" t="s">
        <v>19</v>
      </c>
      <c r="I46">
        <v>14</v>
      </c>
      <c r="J46" s="2">
        <f t="shared" si="0"/>
        <v>14.052652477972385</v>
      </c>
      <c r="K46" s="2">
        <f t="shared" si="1"/>
        <v>29.169319144639033</v>
      </c>
    </row>
    <row r="47" spans="1:11" x14ac:dyDescent="0.3">
      <c r="A47" t="s">
        <v>59</v>
      </c>
      <c r="B47">
        <v>27127.519999999899</v>
      </c>
      <c r="C47" t="s">
        <v>36</v>
      </c>
      <c r="D47">
        <v>30.285714285714199</v>
      </c>
      <c r="E47">
        <v>10.413158139289999</v>
      </c>
      <c r="F47">
        <v>0.34383069327844401</v>
      </c>
      <c r="G47">
        <v>60</v>
      </c>
      <c r="H47" t="s">
        <v>19</v>
      </c>
      <c r="I47">
        <v>14</v>
      </c>
      <c r="J47" s="2">
        <f t="shared" si="0"/>
        <v>11.737343064860168</v>
      </c>
      <c r="K47" s="2">
        <f t="shared" si="1"/>
        <v>25.87067639819346</v>
      </c>
    </row>
    <row r="48" spans="1:11" x14ac:dyDescent="0.3">
      <c r="A48" t="s">
        <v>60</v>
      </c>
      <c r="B48">
        <v>25751.949999999899</v>
      </c>
      <c r="C48" t="s">
        <v>36</v>
      </c>
      <c r="D48">
        <v>28.75</v>
      </c>
      <c r="E48">
        <v>10.970077146155001</v>
      </c>
      <c r="F48">
        <v>0.38156790073582603</v>
      </c>
      <c r="G48">
        <v>56.809338521400697</v>
      </c>
      <c r="H48" t="s">
        <v>19</v>
      </c>
      <c r="I48">
        <v>14</v>
      </c>
      <c r="J48" s="2">
        <f t="shared" si="0"/>
        <v>12.365082445697174</v>
      </c>
      <c r="K48" s="2">
        <f t="shared" si="1"/>
        <v>25.78174911236384</v>
      </c>
    </row>
    <row r="49" spans="1:11" x14ac:dyDescent="0.3">
      <c r="A49" t="s">
        <v>61</v>
      </c>
      <c r="B49">
        <v>23940.42</v>
      </c>
      <c r="C49" t="s">
        <v>36</v>
      </c>
      <c r="D49">
        <v>34.214285714285701</v>
      </c>
      <c r="E49">
        <v>11.412654259578501</v>
      </c>
      <c r="F49">
        <v>0.33356400758684801</v>
      </c>
      <c r="G49">
        <v>62.9392971246006</v>
      </c>
      <c r="H49" t="s">
        <v>19</v>
      </c>
      <c r="I49">
        <v>14</v>
      </c>
      <c r="J49" s="2">
        <f t="shared" si="0"/>
        <v>12.863939693750197</v>
      </c>
      <c r="K49" s="2">
        <f t="shared" si="1"/>
        <v>28.830606360416859</v>
      </c>
    </row>
    <row r="50" spans="1:11" x14ac:dyDescent="0.3">
      <c r="A50" t="s">
        <v>62</v>
      </c>
      <c r="B50">
        <v>22865.85</v>
      </c>
      <c r="C50" t="s">
        <v>36</v>
      </c>
      <c r="D50">
        <v>32.678571428571402</v>
      </c>
      <c r="E50">
        <v>10.428073119934901</v>
      </c>
      <c r="F50">
        <v>0.31911043427123198</v>
      </c>
      <c r="G50">
        <v>55.6666666666666</v>
      </c>
      <c r="H50" t="s">
        <v>19</v>
      </c>
      <c r="I50">
        <v>14</v>
      </c>
      <c r="J50" s="2">
        <f t="shared" si="0"/>
        <v>11.754154702817958</v>
      </c>
      <c r="K50" s="2">
        <f t="shared" si="1"/>
        <v>27.004154702817942</v>
      </c>
    </row>
    <row r="51" spans="1:11" x14ac:dyDescent="0.3">
      <c r="A51" t="s">
        <v>63</v>
      </c>
      <c r="B51">
        <v>22700</v>
      </c>
      <c r="C51" t="s">
        <v>36</v>
      </c>
      <c r="D51">
        <v>37.8333333333333</v>
      </c>
      <c r="E51">
        <v>21.065770023112499</v>
      </c>
      <c r="F51">
        <v>0.55680449400297405</v>
      </c>
      <c r="G51">
        <v>56.164383561643803</v>
      </c>
      <c r="H51" t="s">
        <v>19</v>
      </c>
      <c r="I51">
        <v>14</v>
      </c>
      <c r="J51" s="2">
        <f t="shared" si="0"/>
        <v>23.744589910124748</v>
      </c>
      <c r="K51" s="2">
        <f t="shared" si="1"/>
        <v>41.400145465680289</v>
      </c>
    </row>
    <row r="52" spans="1:11" x14ac:dyDescent="0.3">
      <c r="A52" t="s">
        <v>64</v>
      </c>
      <c r="B52">
        <v>22366.05</v>
      </c>
      <c r="C52" t="s">
        <v>36</v>
      </c>
      <c r="D52">
        <v>31.964285714285701</v>
      </c>
      <c r="E52">
        <v>8.9089307786651695</v>
      </c>
      <c r="F52">
        <v>0.27871515285209397</v>
      </c>
      <c r="G52">
        <v>56.521739130434703</v>
      </c>
      <c r="H52" t="s">
        <v>19</v>
      </c>
      <c r="I52">
        <v>14</v>
      </c>
      <c r="J52" s="2">
        <f t="shared" si="0"/>
        <v>10.04183125729565</v>
      </c>
      <c r="K52" s="2">
        <f t="shared" si="1"/>
        <v>24.958497923962312</v>
      </c>
    </row>
    <row r="53" spans="1:11" x14ac:dyDescent="0.3">
      <c r="A53" t="s">
        <v>65</v>
      </c>
      <c r="B53">
        <v>22252.05</v>
      </c>
      <c r="C53" t="s">
        <v>36</v>
      </c>
      <c r="D53">
        <v>28.3928571428571</v>
      </c>
      <c r="E53">
        <v>9.8632850275347597</v>
      </c>
      <c r="F53">
        <v>0.34738613933455698</v>
      </c>
      <c r="G53">
        <v>53.784860557768901</v>
      </c>
      <c r="H53" t="s">
        <v>19</v>
      </c>
      <c r="I53">
        <v>14</v>
      </c>
      <c r="J53" s="2">
        <f t="shared" si="0"/>
        <v>11.117545567455265</v>
      </c>
      <c r="K53" s="2">
        <f t="shared" si="1"/>
        <v>24.367545567455245</v>
      </c>
    </row>
    <row r="54" spans="1:11" x14ac:dyDescent="0.3">
      <c r="A54" t="s">
        <v>66</v>
      </c>
      <c r="B54">
        <v>22166.13</v>
      </c>
      <c r="C54" t="s">
        <v>36</v>
      </c>
      <c r="D54">
        <v>31.678571428571399</v>
      </c>
      <c r="E54">
        <v>10.3853656702987</v>
      </c>
      <c r="F54">
        <v>0.327835669411911</v>
      </c>
      <c r="G54">
        <v>55.593220338983002</v>
      </c>
      <c r="H54" t="s">
        <v>19</v>
      </c>
      <c r="I54">
        <v>14</v>
      </c>
      <c r="J54" s="2">
        <f t="shared" si="0"/>
        <v>11.706016378104154</v>
      </c>
      <c r="K54" s="2">
        <f t="shared" si="1"/>
        <v>26.48934971143747</v>
      </c>
    </row>
    <row r="55" spans="1:11" x14ac:dyDescent="0.3">
      <c r="A55" t="s">
        <v>67</v>
      </c>
      <c r="B55">
        <v>21766.29</v>
      </c>
      <c r="C55" t="s">
        <v>36</v>
      </c>
      <c r="D55">
        <v>31.107142857142801</v>
      </c>
      <c r="E55">
        <v>10.733606917542501</v>
      </c>
      <c r="F55">
        <v>0.34505280561560397</v>
      </c>
      <c r="G55">
        <v>55.4794520547945</v>
      </c>
      <c r="H55" t="s">
        <v>19</v>
      </c>
      <c r="I55">
        <v>14</v>
      </c>
      <c r="J55" s="2">
        <f t="shared" si="0"/>
        <v>12.09854157877435</v>
      </c>
      <c r="K55" s="2">
        <f t="shared" si="1"/>
        <v>26.615208245440989</v>
      </c>
    </row>
    <row r="56" spans="1:11" x14ac:dyDescent="0.3">
      <c r="A56" t="s">
        <v>68</v>
      </c>
      <c r="B56">
        <v>21475</v>
      </c>
      <c r="C56" t="s">
        <v>36</v>
      </c>
      <c r="D56">
        <v>30.678571428571399</v>
      </c>
      <c r="E56">
        <v>10.360371691561101</v>
      </c>
      <c r="F56">
        <v>0.33770710985298202</v>
      </c>
      <c r="G56">
        <v>60.8996539792387</v>
      </c>
      <c r="H56" t="s">
        <v>19</v>
      </c>
      <c r="I56">
        <v>14</v>
      </c>
      <c r="J56" s="2">
        <f t="shared" si="0"/>
        <v>11.677844050451498</v>
      </c>
      <c r="K56" s="2">
        <f t="shared" si="1"/>
        <v>25.99451071711815</v>
      </c>
    </row>
    <row r="57" spans="1:11" x14ac:dyDescent="0.3">
      <c r="A57" t="s">
        <v>69</v>
      </c>
      <c r="B57">
        <v>21116.55</v>
      </c>
      <c r="C57" t="s">
        <v>36</v>
      </c>
      <c r="D57">
        <v>30.178571428571399</v>
      </c>
      <c r="E57">
        <v>9.3375132363575997</v>
      </c>
      <c r="F57">
        <v>0.30940872262486702</v>
      </c>
      <c r="G57">
        <v>55.5555555555555</v>
      </c>
      <c r="H57" t="s">
        <v>19</v>
      </c>
      <c r="I57">
        <v>14</v>
      </c>
      <c r="J57" s="2">
        <f t="shared" si="0"/>
        <v>10.524914225039762</v>
      </c>
      <c r="K57" s="2">
        <f t="shared" si="1"/>
        <v>24.608247558373083</v>
      </c>
    </row>
    <row r="58" spans="1:11" x14ac:dyDescent="0.3">
      <c r="A58" t="s">
        <v>70</v>
      </c>
      <c r="B58">
        <v>20866.6499999999</v>
      </c>
      <c r="C58" t="s">
        <v>36</v>
      </c>
      <c r="D58">
        <v>29.821428571428498</v>
      </c>
      <c r="E58">
        <v>10.1509115497577</v>
      </c>
      <c r="F58">
        <v>0.34038984837510999</v>
      </c>
      <c r="G58">
        <v>60</v>
      </c>
      <c r="H58" t="s">
        <v>19</v>
      </c>
      <c r="I58">
        <v>14</v>
      </c>
      <c r="J58" s="2">
        <f t="shared" si="0"/>
        <v>11.441747996797556</v>
      </c>
      <c r="K58" s="2">
        <f t="shared" si="1"/>
        <v>25.358414663464188</v>
      </c>
    </row>
    <row r="59" spans="1:11" x14ac:dyDescent="0.3">
      <c r="A59" t="s">
        <v>71</v>
      </c>
      <c r="B59">
        <v>20697.93</v>
      </c>
      <c r="C59" t="s">
        <v>36</v>
      </c>
      <c r="D59">
        <v>34.5</v>
      </c>
      <c r="E59">
        <v>17.558473737771099</v>
      </c>
      <c r="F59">
        <v>0.50894126776148296</v>
      </c>
      <c r="G59">
        <v>51.428571428571402</v>
      </c>
      <c r="H59" t="s">
        <v>19</v>
      </c>
      <c r="I59">
        <v>14</v>
      </c>
      <c r="J59" s="2">
        <f t="shared" si="0"/>
        <v>19.791289750796853</v>
      </c>
      <c r="K59" s="2">
        <f t="shared" si="1"/>
        <v>35.891289750796851</v>
      </c>
    </row>
    <row r="60" spans="1:11" x14ac:dyDescent="0.3">
      <c r="A60" t="s">
        <v>72</v>
      </c>
      <c r="B60">
        <v>20597.939999999999</v>
      </c>
      <c r="C60" t="s">
        <v>36</v>
      </c>
      <c r="D60">
        <v>34.3333333333333</v>
      </c>
      <c r="E60">
        <v>21.125024654817899</v>
      </c>
      <c r="F60">
        <v>0.61529198023741605</v>
      </c>
      <c r="G60">
        <v>57.352941176470502</v>
      </c>
      <c r="H60" t="s">
        <v>19</v>
      </c>
      <c r="I60">
        <v>14</v>
      </c>
      <c r="J60" s="2">
        <f t="shared" si="0"/>
        <v>23.811379632436182</v>
      </c>
      <c r="K60" s="2">
        <f t="shared" si="1"/>
        <v>39.833601854658383</v>
      </c>
    </row>
    <row r="61" spans="1:11" x14ac:dyDescent="0.3">
      <c r="A61" t="s">
        <v>73</v>
      </c>
      <c r="B61">
        <v>20566.77</v>
      </c>
      <c r="C61" t="s">
        <v>36</v>
      </c>
      <c r="D61">
        <v>29.3928571428571</v>
      </c>
      <c r="E61">
        <v>12.9681641115186</v>
      </c>
      <c r="F61">
        <v>0.44120120914036698</v>
      </c>
      <c r="G61">
        <v>55.160142348754398</v>
      </c>
      <c r="H61" t="s">
        <v>19</v>
      </c>
      <c r="I61">
        <v>14</v>
      </c>
      <c r="J61" s="2">
        <f t="shared" si="0"/>
        <v>14.617255309317681</v>
      </c>
      <c r="K61" s="2">
        <f t="shared" si="1"/>
        <v>28.333921975984325</v>
      </c>
    </row>
    <row r="62" spans="1:11" x14ac:dyDescent="0.3">
      <c r="A62" t="s">
        <v>74</v>
      </c>
      <c r="B62">
        <v>20450.7</v>
      </c>
      <c r="C62" t="s">
        <v>36</v>
      </c>
      <c r="D62">
        <v>33.214285714285701</v>
      </c>
      <c r="E62">
        <v>12.9824871863974</v>
      </c>
      <c r="F62">
        <v>0.39087058195605101</v>
      </c>
      <c r="G62">
        <v>56.271186440677901</v>
      </c>
      <c r="H62" t="s">
        <v>19</v>
      </c>
      <c r="I62">
        <v>14</v>
      </c>
      <c r="J62" s="2">
        <f t="shared" si="0"/>
        <v>14.633399772058702</v>
      </c>
      <c r="K62" s="2">
        <f t="shared" si="1"/>
        <v>30.133399772058695</v>
      </c>
    </row>
    <row r="63" spans="1:11" x14ac:dyDescent="0.3">
      <c r="A63" t="s">
        <v>75</v>
      </c>
      <c r="B63">
        <v>20025</v>
      </c>
      <c r="C63" t="s">
        <v>36</v>
      </c>
      <c r="D63">
        <v>28.607142857142801</v>
      </c>
      <c r="E63">
        <v>10.242754569158601</v>
      </c>
      <c r="F63">
        <v>0.35804884885947902</v>
      </c>
      <c r="G63">
        <v>57.347670250896002</v>
      </c>
      <c r="H63" t="s">
        <v>19</v>
      </c>
      <c r="I63">
        <v>14</v>
      </c>
      <c r="J63" s="2">
        <f t="shared" si="0"/>
        <v>11.545270195577348</v>
      </c>
      <c r="K63" s="2">
        <f t="shared" si="1"/>
        <v>24.895270195577325</v>
      </c>
    </row>
    <row r="64" spans="1:11" x14ac:dyDescent="0.3">
      <c r="A64" t="s">
        <v>76</v>
      </c>
      <c r="B64">
        <v>19567.939999999999</v>
      </c>
      <c r="C64" t="s">
        <v>36</v>
      </c>
      <c r="D64">
        <v>34.3333333333333</v>
      </c>
      <c r="E64">
        <v>16.070677231114601</v>
      </c>
      <c r="F64">
        <v>0.46807797760528003</v>
      </c>
      <c r="G64">
        <v>60</v>
      </c>
      <c r="H64" t="s">
        <v>19</v>
      </c>
      <c r="I64">
        <v>14</v>
      </c>
      <c r="J64" s="2">
        <f t="shared" si="0"/>
        <v>18.114298219914513</v>
      </c>
      <c r="K64" s="2">
        <f t="shared" si="1"/>
        <v>34.136520442136714</v>
      </c>
    </row>
    <row r="65" spans="1:11" x14ac:dyDescent="0.3">
      <c r="A65" t="s">
        <v>77</v>
      </c>
      <c r="B65">
        <v>19426</v>
      </c>
      <c r="C65" t="s">
        <v>36</v>
      </c>
      <c r="D65">
        <v>31.535714285714199</v>
      </c>
      <c r="E65">
        <v>11.902325147438299</v>
      </c>
      <c r="F65">
        <v>0.37742367398445498</v>
      </c>
      <c r="G65">
        <v>50.324675324675297</v>
      </c>
      <c r="H65" t="s">
        <v>19</v>
      </c>
      <c r="I65">
        <v>14</v>
      </c>
      <c r="J65" s="2">
        <f t="shared" si="0"/>
        <v>13.415879376486735</v>
      </c>
      <c r="K65" s="2">
        <f t="shared" si="1"/>
        <v>28.132546043153361</v>
      </c>
    </row>
    <row r="66" spans="1:11" x14ac:dyDescent="0.3">
      <c r="A66" t="s">
        <v>78</v>
      </c>
      <c r="B66">
        <v>19298.07</v>
      </c>
      <c r="C66" t="s">
        <v>36</v>
      </c>
      <c r="D66">
        <v>32.1666666666666</v>
      </c>
      <c r="E66">
        <v>18.723425612495799</v>
      </c>
      <c r="F66">
        <v>0.58207540764235799</v>
      </c>
      <c r="G66">
        <v>53.968253968253897</v>
      </c>
      <c r="H66" t="s">
        <v>19</v>
      </c>
      <c r="I66">
        <v>14</v>
      </c>
      <c r="J66" s="2">
        <f t="shared" si="0"/>
        <v>21.104382246348649</v>
      </c>
      <c r="K66" s="2">
        <f t="shared" si="1"/>
        <v>36.115493357459727</v>
      </c>
    </row>
    <row r="67" spans="1:11" x14ac:dyDescent="0.3">
      <c r="A67" t="s">
        <v>79</v>
      </c>
      <c r="B67">
        <v>19249.23</v>
      </c>
      <c r="C67" t="s">
        <v>36</v>
      </c>
      <c r="D67">
        <v>12.8333333333333</v>
      </c>
      <c r="E67">
        <v>7.9854033502802197</v>
      </c>
      <c r="F67">
        <v>0.62223922209975702</v>
      </c>
      <c r="G67">
        <v>61.038961038960998</v>
      </c>
      <c r="H67" t="s">
        <v>19</v>
      </c>
      <c r="I67">
        <v>14</v>
      </c>
      <c r="J67" s="2">
        <f t="shared" ref="J67:J119" si="2">1.65*E67*SQRT(I67/30)</f>
        <v>9.0008638474315248</v>
      </c>
      <c r="K67" s="2">
        <f t="shared" ref="K67:K119" si="3">(D67/30*I67)+J67</f>
        <v>14.989752736320398</v>
      </c>
    </row>
    <row r="68" spans="1:11" x14ac:dyDescent="0.3">
      <c r="A68" t="s">
        <v>80</v>
      </c>
      <c r="B68">
        <v>19077.88</v>
      </c>
      <c r="C68" t="s">
        <v>36</v>
      </c>
      <c r="D68">
        <v>35.3333333333333</v>
      </c>
      <c r="E68">
        <v>16.621271511730502</v>
      </c>
      <c r="F68">
        <v>0.47041334467161999</v>
      </c>
      <c r="G68">
        <v>48.484848484848399</v>
      </c>
      <c r="H68" t="s">
        <v>49</v>
      </c>
      <c r="I68">
        <v>14</v>
      </c>
      <c r="J68" s="2">
        <f t="shared" si="2"/>
        <v>18.734908593318423</v>
      </c>
      <c r="K68" s="2">
        <f t="shared" si="3"/>
        <v>35.223797482207296</v>
      </c>
    </row>
    <row r="69" spans="1:11" x14ac:dyDescent="0.3">
      <c r="A69" t="s">
        <v>81</v>
      </c>
      <c r="B69">
        <v>18810.59</v>
      </c>
      <c r="C69" t="s">
        <v>36</v>
      </c>
      <c r="D69">
        <v>33.607142857142797</v>
      </c>
      <c r="E69">
        <v>11.9856064470998</v>
      </c>
      <c r="F69">
        <v>0.35663866155026103</v>
      </c>
      <c r="G69">
        <v>52.442996742670999</v>
      </c>
      <c r="H69" t="s">
        <v>19</v>
      </c>
      <c r="I69">
        <v>14</v>
      </c>
      <c r="J69" s="2">
        <f t="shared" si="2"/>
        <v>13.509751107995953</v>
      </c>
      <c r="K69" s="2">
        <f t="shared" si="3"/>
        <v>29.193084441329258</v>
      </c>
    </row>
    <row r="70" spans="1:11" x14ac:dyDescent="0.3">
      <c r="A70" t="s">
        <v>82</v>
      </c>
      <c r="B70">
        <v>18690.650000000001</v>
      </c>
      <c r="C70" t="s">
        <v>36</v>
      </c>
      <c r="D70">
        <v>31.1666666666666</v>
      </c>
      <c r="E70">
        <v>14.958832396502901</v>
      </c>
      <c r="F70">
        <v>0.479962536786191</v>
      </c>
      <c r="G70">
        <v>51.612903225806399</v>
      </c>
      <c r="H70" t="s">
        <v>19</v>
      </c>
      <c r="I70">
        <v>14</v>
      </c>
      <c r="J70" s="2">
        <f t="shared" si="2"/>
        <v>16.86106609915273</v>
      </c>
      <c r="K70" s="2">
        <f t="shared" si="3"/>
        <v>31.405510543597146</v>
      </c>
    </row>
    <row r="71" spans="1:11" x14ac:dyDescent="0.3">
      <c r="A71" t="s">
        <v>83</v>
      </c>
      <c r="B71">
        <v>18598.14</v>
      </c>
      <c r="C71" t="s">
        <v>36</v>
      </c>
      <c r="D71">
        <v>31</v>
      </c>
      <c r="E71">
        <v>14.8727939540625</v>
      </c>
      <c r="F71">
        <v>0.47976754690524398</v>
      </c>
      <c r="G71">
        <v>60.317460317460302</v>
      </c>
      <c r="H71" t="s">
        <v>19</v>
      </c>
      <c r="I71">
        <v>14</v>
      </c>
      <c r="J71" s="2">
        <f t="shared" si="2"/>
        <v>16.764086613949399</v>
      </c>
      <c r="K71" s="2">
        <f t="shared" si="3"/>
        <v>31.230753280616067</v>
      </c>
    </row>
    <row r="72" spans="1:11" x14ac:dyDescent="0.3">
      <c r="A72" t="s">
        <v>84</v>
      </c>
      <c r="B72">
        <v>18477.689999999999</v>
      </c>
      <c r="C72" t="s">
        <v>36</v>
      </c>
      <c r="D72">
        <v>38.5</v>
      </c>
      <c r="E72">
        <v>23.939507096011798</v>
      </c>
      <c r="F72">
        <v>0.62180537911719003</v>
      </c>
      <c r="G72">
        <v>50</v>
      </c>
      <c r="H72" t="s">
        <v>49</v>
      </c>
      <c r="I72">
        <v>14</v>
      </c>
      <c r="J72" s="2">
        <f t="shared" si="2"/>
        <v>26.983764563159063</v>
      </c>
      <c r="K72" s="2">
        <f t="shared" si="3"/>
        <v>44.950431229825732</v>
      </c>
    </row>
    <row r="73" spans="1:11" x14ac:dyDescent="0.3">
      <c r="A73" t="s">
        <v>85</v>
      </c>
      <c r="B73">
        <v>17919</v>
      </c>
      <c r="C73" t="s">
        <v>36</v>
      </c>
      <c r="D73">
        <v>30.1666666666666</v>
      </c>
      <c r="E73">
        <v>15.0786825242348</v>
      </c>
      <c r="F73">
        <v>0.499845829532648</v>
      </c>
      <c r="G73">
        <v>50.877192982456101</v>
      </c>
      <c r="H73" t="s">
        <v>19</v>
      </c>
      <c r="I73">
        <v>14</v>
      </c>
      <c r="J73" s="2">
        <f t="shared" si="2"/>
        <v>16.996156918550632</v>
      </c>
      <c r="K73" s="2">
        <f t="shared" si="3"/>
        <v>31.073934696328379</v>
      </c>
    </row>
    <row r="74" spans="1:11" x14ac:dyDescent="0.3">
      <c r="A74" t="s">
        <v>86</v>
      </c>
      <c r="B74">
        <v>17731.13</v>
      </c>
      <c r="C74" t="s">
        <v>36</v>
      </c>
      <c r="D74">
        <v>31.678571428571399</v>
      </c>
      <c r="E74">
        <v>9.4831373595395192</v>
      </c>
      <c r="F74">
        <v>0.29935495610722201</v>
      </c>
      <c r="G74">
        <v>54.455445544554401</v>
      </c>
      <c r="H74" t="s">
        <v>19</v>
      </c>
      <c r="I74">
        <v>14</v>
      </c>
      <c r="J74" s="2">
        <f t="shared" si="2"/>
        <v>10.68905657930369</v>
      </c>
      <c r="K74" s="2">
        <f t="shared" si="3"/>
        <v>25.472389912637006</v>
      </c>
    </row>
    <row r="75" spans="1:11" x14ac:dyDescent="0.3">
      <c r="A75" t="s">
        <v>87</v>
      </c>
      <c r="B75">
        <v>17638.04</v>
      </c>
      <c r="C75" t="s">
        <v>36</v>
      </c>
      <c r="D75">
        <v>32.6666666666666</v>
      </c>
      <c r="E75">
        <v>22.0967569264511</v>
      </c>
      <c r="F75">
        <v>0.67643133448319803</v>
      </c>
      <c r="G75">
        <v>53.3333333333333</v>
      </c>
      <c r="H75" t="s">
        <v>19</v>
      </c>
      <c r="I75">
        <v>14</v>
      </c>
      <c r="J75" s="2">
        <f t="shared" si="2"/>
        <v>24.906681834399325</v>
      </c>
      <c r="K75" s="2">
        <f t="shared" si="3"/>
        <v>40.151126278843734</v>
      </c>
    </row>
    <row r="76" spans="1:11" x14ac:dyDescent="0.3">
      <c r="A76" t="s">
        <v>88</v>
      </c>
      <c r="B76">
        <v>16637.919999999998</v>
      </c>
      <c r="C76" t="s">
        <v>36</v>
      </c>
      <c r="D76">
        <v>34.6666666666666</v>
      </c>
      <c r="E76">
        <v>23.235031023578699</v>
      </c>
      <c r="F76">
        <v>0.67024127952630896</v>
      </c>
      <c r="G76">
        <v>55.072463768115902</v>
      </c>
      <c r="H76" t="s">
        <v>19</v>
      </c>
      <c r="I76">
        <v>14</v>
      </c>
      <c r="J76" s="2">
        <f t="shared" si="2"/>
        <v>26.189704083857027</v>
      </c>
      <c r="K76" s="2">
        <f t="shared" si="3"/>
        <v>42.367481861634772</v>
      </c>
    </row>
    <row r="77" spans="1:11" x14ac:dyDescent="0.3">
      <c r="A77" t="s">
        <v>89</v>
      </c>
      <c r="B77">
        <v>16031.98</v>
      </c>
      <c r="C77" t="s">
        <v>36</v>
      </c>
      <c r="D77">
        <v>28.6428571428571</v>
      </c>
      <c r="E77">
        <v>10.4747112952852</v>
      </c>
      <c r="F77">
        <v>0.36570064372567002</v>
      </c>
      <c r="G77">
        <v>51.985559566786897</v>
      </c>
      <c r="H77" t="s">
        <v>19</v>
      </c>
      <c r="I77">
        <v>14</v>
      </c>
      <c r="J77" s="2">
        <f t="shared" si="2"/>
        <v>11.806723602347114</v>
      </c>
      <c r="K77" s="2">
        <f t="shared" si="3"/>
        <v>25.173390269013762</v>
      </c>
    </row>
    <row r="78" spans="1:11" x14ac:dyDescent="0.3">
      <c r="A78" t="s">
        <v>90</v>
      </c>
      <c r="B78">
        <v>15993.109999999901</v>
      </c>
      <c r="C78" t="s">
        <v>36</v>
      </c>
      <c r="D78">
        <v>31.75</v>
      </c>
      <c r="E78">
        <v>12.2342112915351</v>
      </c>
      <c r="F78">
        <v>0.385329489497169</v>
      </c>
      <c r="G78">
        <v>61.409395973154297</v>
      </c>
      <c r="H78" t="s">
        <v>19</v>
      </c>
      <c r="I78">
        <v>14</v>
      </c>
      <c r="J78" s="2">
        <f t="shared" si="2"/>
        <v>13.789969684117786</v>
      </c>
      <c r="K78" s="2">
        <f t="shared" si="3"/>
        <v>28.606636350784452</v>
      </c>
    </row>
    <row r="79" spans="1:11" x14ac:dyDescent="0.3">
      <c r="A79" t="s">
        <v>91</v>
      </c>
      <c r="B79">
        <v>15600</v>
      </c>
      <c r="C79" t="s">
        <v>36</v>
      </c>
      <c r="D79">
        <v>32.5</v>
      </c>
      <c r="E79">
        <v>19.3157966441977</v>
      </c>
      <c r="F79">
        <v>0.59433220443685297</v>
      </c>
      <c r="G79">
        <v>50</v>
      </c>
      <c r="H79" t="s">
        <v>49</v>
      </c>
      <c r="I79">
        <v>14</v>
      </c>
      <c r="J79" s="2">
        <f t="shared" si="2"/>
        <v>21.772081894021959</v>
      </c>
      <c r="K79" s="2">
        <f t="shared" si="3"/>
        <v>36.938748560688623</v>
      </c>
    </row>
    <row r="80" spans="1:11" x14ac:dyDescent="0.3">
      <c r="A80" t="s">
        <v>92</v>
      </c>
      <c r="B80">
        <v>14870.7</v>
      </c>
      <c r="C80" t="s">
        <v>36</v>
      </c>
      <c r="D80">
        <v>33.214285714285701</v>
      </c>
      <c r="E80">
        <v>12.254574785548501</v>
      </c>
      <c r="F80">
        <v>0.36895493977995703</v>
      </c>
      <c r="G80">
        <v>54.635761589403899</v>
      </c>
      <c r="H80" t="s">
        <v>19</v>
      </c>
      <c r="I80">
        <v>14</v>
      </c>
      <c r="J80" s="2">
        <f t="shared" si="2"/>
        <v>13.812922693381392</v>
      </c>
      <c r="K80" s="2">
        <f t="shared" si="3"/>
        <v>29.312922693381388</v>
      </c>
    </row>
    <row r="81" spans="1:11" x14ac:dyDescent="0.3">
      <c r="A81" t="s">
        <v>93</v>
      </c>
      <c r="B81">
        <v>14151.15</v>
      </c>
      <c r="C81" t="s">
        <v>36</v>
      </c>
      <c r="D81">
        <v>31.607142857142801</v>
      </c>
      <c r="E81">
        <v>11.823828062556901</v>
      </c>
      <c r="F81">
        <v>0.37408721553852597</v>
      </c>
      <c r="G81">
        <v>54.6666666666666</v>
      </c>
      <c r="H81" t="s">
        <v>19</v>
      </c>
      <c r="I81">
        <v>14</v>
      </c>
      <c r="J81" s="2">
        <f t="shared" si="2"/>
        <v>13.32740024244112</v>
      </c>
      <c r="K81" s="2">
        <f t="shared" si="3"/>
        <v>28.077400242441094</v>
      </c>
    </row>
    <row r="82" spans="1:11" x14ac:dyDescent="0.3">
      <c r="A82" t="s">
        <v>94</v>
      </c>
      <c r="B82">
        <v>13999.65</v>
      </c>
      <c r="C82" t="s">
        <v>36</v>
      </c>
      <c r="D82">
        <v>35</v>
      </c>
      <c r="G82">
        <v>54.285714285714199</v>
      </c>
      <c r="H82" t="s">
        <v>19</v>
      </c>
      <c r="I82">
        <v>14</v>
      </c>
      <c r="J82" s="2">
        <f t="shared" si="2"/>
        <v>0</v>
      </c>
      <c r="K82" s="2">
        <f t="shared" si="3"/>
        <v>16.333333333333336</v>
      </c>
    </row>
    <row r="83" spans="1:11" x14ac:dyDescent="0.3">
      <c r="A83" t="s">
        <v>95</v>
      </c>
      <c r="B83">
        <v>13999.6</v>
      </c>
      <c r="C83" t="s">
        <v>36</v>
      </c>
      <c r="D83">
        <v>40</v>
      </c>
      <c r="G83">
        <v>62.5</v>
      </c>
      <c r="H83" t="s">
        <v>19</v>
      </c>
      <c r="I83">
        <v>14</v>
      </c>
      <c r="J83" s="2">
        <f t="shared" si="2"/>
        <v>0</v>
      </c>
      <c r="K83" s="2">
        <f t="shared" si="3"/>
        <v>18.666666666666664</v>
      </c>
    </row>
    <row r="84" spans="1:11" x14ac:dyDescent="0.3">
      <c r="A84" t="s">
        <v>96</v>
      </c>
      <c r="B84">
        <v>13649.35</v>
      </c>
      <c r="C84" t="s">
        <v>36</v>
      </c>
      <c r="D84">
        <v>10.8333333333333</v>
      </c>
      <c r="E84">
        <v>6.1128280416405101</v>
      </c>
      <c r="F84">
        <v>0.56426104999758597</v>
      </c>
      <c r="G84">
        <v>55.384615384615302</v>
      </c>
      <c r="H84" t="s">
        <v>19</v>
      </c>
      <c r="I84">
        <v>14</v>
      </c>
      <c r="J84" s="2">
        <f t="shared" si="2"/>
        <v>6.8901632781814275</v>
      </c>
      <c r="K84" s="2">
        <f t="shared" si="3"/>
        <v>11.945718833736969</v>
      </c>
    </row>
    <row r="85" spans="1:11" x14ac:dyDescent="0.3">
      <c r="A85" t="s">
        <v>97</v>
      </c>
      <c r="B85">
        <v>13499.46</v>
      </c>
      <c r="C85" t="s">
        <v>36</v>
      </c>
      <c r="D85">
        <v>9</v>
      </c>
      <c r="E85">
        <v>4.8166378315169096</v>
      </c>
      <c r="F85">
        <v>0.53518198127965699</v>
      </c>
      <c r="G85">
        <v>62.962962962962898</v>
      </c>
      <c r="H85" t="s">
        <v>19</v>
      </c>
      <c r="I85">
        <v>14</v>
      </c>
      <c r="J85" s="2">
        <f t="shared" si="2"/>
        <v>5.4291435788713382</v>
      </c>
      <c r="K85" s="2">
        <f t="shared" si="3"/>
        <v>9.6291435788713393</v>
      </c>
    </row>
    <row r="86" spans="1:11" x14ac:dyDescent="0.3">
      <c r="A86" t="s">
        <v>98</v>
      </c>
      <c r="B86">
        <v>13333</v>
      </c>
      <c r="C86" t="s">
        <v>36</v>
      </c>
      <c r="D86">
        <v>11.1666666666666</v>
      </c>
      <c r="E86">
        <v>5.7763887219149801</v>
      </c>
      <c r="F86">
        <v>0.51728854226104304</v>
      </c>
      <c r="G86">
        <v>61.194029850746197</v>
      </c>
      <c r="H86" t="s">
        <v>19</v>
      </c>
      <c r="I86">
        <v>14</v>
      </c>
      <c r="J86" s="2">
        <f t="shared" si="2"/>
        <v>6.5109407922357789</v>
      </c>
      <c r="K86" s="2">
        <f t="shared" si="3"/>
        <v>11.722051903346859</v>
      </c>
    </row>
    <row r="87" spans="1:11" x14ac:dyDescent="0.3">
      <c r="A87" t="s">
        <v>99</v>
      </c>
      <c r="B87">
        <v>13311.12</v>
      </c>
      <c r="C87" t="s">
        <v>36</v>
      </c>
      <c r="D87">
        <v>31.714285714285701</v>
      </c>
      <c r="E87">
        <v>12.5899935070649</v>
      </c>
      <c r="F87">
        <v>0.396981777249794</v>
      </c>
      <c r="G87">
        <v>53.054662379421202</v>
      </c>
      <c r="H87" t="s">
        <v>19</v>
      </c>
      <c r="I87">
        <v>14</v>
      </c>
      <c r="J87" s="2">
        <f t="shared" si="2"/>
        <v>14.190994797170955</v>
      </c>
      <c r="K87" s="2">
        <f t="shared" si="3"/>
        <v>28.990994797170949</v>
      </c>
    </row>
    <row r="88" spans="1:11" x14ac:dyDescent="0.3">
      <c r="A88" t="s">
        <v>100</v>
      </c>
      <c r="B88">
        <v>12951.36</v>
      </c>
      <c r="C88" t="s">
        <v>36</v>
      </c>
      <c r="D88">
        <v>30.857142857142801</v>
      </c>
      <c r="E88">
        <v>9.6252533808467895</v>
      </c>
      <c r="F88">
        <v>0.31192950771262701</v>
      </c>
      <c r="G88">
        <v>53.900709219858101</v>
      </c>
      <c r="H88" t="s">
        <v>19</v>
      </c>
      <c r="I88">
        <v>14</v>
      </c>
      <c r="J88" s="2">
        <f t="shared" si="2"/>
        <v>10.849244725376552</v>
      </c>
      <c r="K88" s="2">
        <f t="shared" si="3"/>
        <v>25.249244725376528</v>
      </c>
    </row>
    <row r="89" spans="1:11" x14ac:dyDescent="0.3">
      <c r="A89" t="s">
        <v>101</v>
      </c>
      <c r="B89">
        <v>12799.68</v>
      </c>
      <c r="C89" t="s">
        <v>36</v>
      </c>
      <c r="D89">
        <v>32</v>
      </c>
      <c r="G89">
        <v>65.625</v>
      </c>
      <c r="H89" t="s">
        <v>19</v>
      </c>
      <c r="I89">
        <v>14</v>
      </c>
      <c r="J89" s="2">
        <f t="shared" si="2"/>
        <v>0</v>
      </c>
      <c r="K89" s="2">
        <f t="shared" si="3"/>
        <v>14.933333333333334</v>
      </c>
    </row>
    <row r="90" spans="1:11" x14ac:dyDescent="0.3">
      <c r="A90" t="s">
        <v>102</v>
      </c>
      <c r="B90">
        <v>12599.37</v>
      </c>
      <c r="C90" t="s">
        <v>36</v>
      </c>
      <c r="D90">
        <v>10.5</v>
      </c>
      <c r="E90">
        <v>7.2594765651526103</v>
      </c>
      <c r="F90">
        <v>0.69137872049072502</v>
      </c>
      <c r="G90">
        <v>49.206349206349202</v>
      </c>
      <c r="H90" t="s">
        <v>49</v>
      </c>
      <c r="I90">
        <v>14</v>
      </c>
      <c r="J90" s="2">
        <f t="shared" si="2"/>
        <v>8.1826248844731921</v>
      </c>
      <c r="K90" s="2">
        <f t="shared" si="3"/>
        <v>13.082624884473191</v>
      </c>
    </row>
    <row r="91" spans="1:11" x14ac:dyDescent="0.3">
      <c r="A91" t="s">
        <v>103</v>
      </c>
      <c r="B91">
        <v>12587.4</v>
      </c>
      <c r="C91" t="s">
        <v>36</v>
      </c>
      <c r="D91">
        <v>202.5</v>
      </c>
      <c r="E91">
        <v>149.199530830361</v>
      </c>
      <c r="F91">
        <v>0.73678780656968601</v>
      </c>
      <c r="G91">
        <v>56.543209876543202</v>
      </c>
      <c r="H91" t="s">
        <v>19</v>
      </c>
      <c r="I91">
        <v>14</v>
      </c>
      <c r="J91" s="2">
        <f t="shared" si="2"/>
        <v>168.1724271395278</v>
      </c>
      <c r="K91" s="2">
        <f t="shared" si="3"/>
        <v>262.67242713952783</v>
      </c>
    </row>
    <row r="92" spans="1:11" x14ac:dyDescent="0.3">
      <c r="A92" t="s">
        <v>104</v>
      </c>
      <c r="B92">
        <v>12229.56</v>
      </c>
      <c r="C92" t="s">
        <v>36</v>
      </c>
      <c r="D92">
        <v>103.5</v>
      </c>
      <c r="E92">
        <v>30.405591591021501</v>
      </c>
      <c r="F92">
        <v>0.29377383179730898</v>
      </c>
      <c r="G92">
        <v>52.657004830917799</v>
      </c>
      <c r="H92" t="s">
        <v>19</v>
      </c>
      <c r="I92">
        <v>14</v>
      </c>
      <c r="J92" s="2">
        <f t="shared" si="2"/>
        <v>34.272106004737971</v>
      </c>
      <c r="K92" s="2">
        <f t="shared" si="3"/>
        <v>82.572106004737975</v>
      </c>
    </row>
    <row r="93" spans="1:11" x14ac:dyDescent="0.3">
      <c r="A93" t="s">
        <v>105</v>
      </c>
      <c r="B93">
        <v>12096</v>
      </c>
      <c r="C93" t="s">
        <v>36</v>
      </c>
      <c r="D93">
        <v>10.6666666666666</v>
      </c>
      <c r="E93">
        <v>7.0332543439482302</v>
      </c>
      <c r="F93">
        <v>0.65936759474514595</v>
      </c>
      <c r="G93">
        <v>57.8125</v>
      </c>
      <c r="H93" t="s">
        <v>19</v>
      </c>
      <c r="I93">
        <v>14</v>
      </c>
      <c r="J93" s="2">
        <f t="shared" si="2"/>
        <v>7.9276352085599884</v>
      </c>
      <c r="K93" s="2">
        <f t="shared" si="3"/>
        <v>12.905412986337735</v>
      </c>
    </row>
    <row r="94" spans="1:11" x14ac:dyDescent="0.3">
      <c r="A94" t="s">
        <v>106</v>
      </c>
      <c r="B94">
        <v>11799.41</v>
      </c>
      <c r="C94" t="s">
        <v>36</v>
      </c>
      <c r="D94">
        <v>9.8333333333333304</v>
      </c>
      <c r="E94">
        <v>5.1929439306299701</v>
      </c>
      <c r="F94">
        <v>0.52809599294541998</v>
      </c>
      <c r="G94">
        <v>50.847457627118601</v>
      </c>
      <c r="H94" t="s">
        <v>19</v>
      </c>
      <c r="I94">
        <v>14</v>
      </c>
      <c r="J94" s="2">
        <f t="shared" si="2"/>
        <v>5.8533024866309411</v>
      </c>
      <c r="K94" s="2">
        <f t="shared" si="3"/>
        <v>10.44219137551983</v>
      </c>
    </row>
    <row r="95" spans="1:11" x14ac:dyDescent="0.3">
      <c r="A95" t="s">
        <v>107</v>
      </c>
      <c r="B95">
        <v>11699.35</v>
      </c>
      <c r="C95" t="s">
        <v>36</v>
      </c>
      <c r="D95">
        <v>10.8333333333333</v>
      </c>
      <c r="E95">
        <v>5.7763887219149801</v>
      </c>
      <c r="F95">
        <v>0.53320511279215199</v>
      </c>
      <c r="G95">
        <v>56.923076923076898</v>
      </c>
      <c r="H95" t="s">
        <v>19</v>
      </c>
      <c r="I95">
        <v>14</v>
      </c>
      <c r="J95" s="2">
        <f t="shared" si="2"/>
        <v>6.5109407922357789</v>
      </c>
      <c r="K95" s="2">
        <f t="shared" si="3"/>
        <v>11.566496347791318</v>
      </c>
    </row>
    <row r="96" spans="1:11" x14ac:dyDescent="0.3">
      <c r="A96" t="s">
        <v>108</v>
      </c>
      <c r="B96">
        <v>11598.55</v>
      </c>
      <c r="C96" t="s">
        <v>36</v>
      </c>
      <c r="D96">
        <v>29</v>
      </c>
      <c r="E96">
        <v>18.124568960391802</v>
      </c>
      <c r="F96">
        <v>0.62498513656523602</v>
      </c>
      <c r="G96">
        <v>50.943396226414997</v>
      </c>
      <c r="H96" t="s">
        <v>19</v>
      </c>
      <c r="I96">
        <v>14</v>
      </c>
      <c r="J96" s="2">
        <f t="shared" si="2"/>
        <v>20.429372237051172</v>
      </c>
      <c r="K96" s="2">
        <f t="shared" si="3"/>
        <v>33.962705570384507</v>
      </c>
    </row>
    <row r="97" spans="1:11" x14ac:dyDescent="0.3">
      <c r="A97" t="s">
        <v>109</v>
      </c>
      <c r="B97">
        <v>10799.64</v>
      </c>
      <c r="C97" t="s">
        <v>36</v>
      </c>
      <c r="D97">
        <v>36</v>
      </c>
      <c r="G97">
        <v>63.8888888888888</v>
      </c>
      <c r="H97" t="s">
        <v>19</v>
      </c>
      <c r="I97">
        <v>14</v>
      </c>
      <c r="J97" s="2">
        <f t="shared" si="2"/>
        <v>0</v>
      </c>
      <c r="K97" s="2">
        <f t="shared" si="3"/>
        <v>16.8</v>
      </c>
    </row>
    <row r="98" spans="1:11" x14ac:dyDescent="0.3">
      <c r="A98" t="s">
        <v>110</v>
      </c>
      <c r="B98">
        <v>10799.64</v>
      </c>
      <c r="C98" t="s">
        <v>36</v>
      </c>
      <c r="D98">
        <v>36</v>
      </c>
      <c r="G98">
        <v>52.7777777777777</v>
      </c>
      <c r="H98" t="s">
        <v>19</v>
      </c>
      <c r="I98">
        <v>14</v>
      </c>
      <c r="J98" s="2">
        <f t="shared" si="2"/>
        <v>0</v>
      </c>
      <c r="K98" s="2">
        <f t="shared" si="3"/>
        <v>16.8</v>
      </c>
    </row>
    <row r="99" spans="1:11" x14ac:dyDescent="0.3">
      <c r="A99" t="s">
        <v>111</v>
      </c>
      <c r="B99">
        <v>10399.35</v>
      </c>
      <c r="C99" t="s">
        <v>36</v>
      </c>
      <c r="D99">
        <v>10.8333333333333</v>
      </c>
      <c r="E99">
        <v>4.6224091842530104</v>
      </c>
      <c r="F99">
        <v>0.42668392470027799</v>
      </c>
      <c r="G99">
        <v>55.384615384615302</v>
      </c>
      <c r="H99" t="s">
        <v>19</v>
      </c>
      <c r="I99">
        <v>14</v>
      </c>
      <c r="J99" s="2">
        <f t="shared" si="2"/>
        <v>5.2102159264276073</v>
      </c>
      <c r="K99" s="2">
        <f t="shared" si="3"/>
        <v>10.265771481983148</v>
      </c>
    </row>
    <row r="100" spans="1:11" x14ac:dyDescent="0.3">
      <c r="A100" t="s">
        <v>112</v>
      </c>
      <c r="B100">
        <v>10369.39</v>
      </c>
      <c r="C100" t="s">
        <v>36</v>
      </c>
      <c r="D100">
        <v>12.2</v>
      </c>
      <c r="E100">
        <v>5.4037024344425104</v>
      </c>
      <c r="F100">
        <v>0.44292642905266499</v>
      </c>
      <c r="G100">
        <v>68.852459016393396</v>
      </c>
      <c r="H100" t="s">
        <v>19</v>
      </c>
      <c r="I100">
        <v>14</v>
      </c>
      <c r="J100" s="2">
        <f t="shared" si="2"/>
        <v>6.0908620079591262</v>
      </c>
      <c r="K100" s="2">
        <f t="shared" si="3"/>
        <v>11.78419534129246</v>
      </c>
    </row>
    <row r="101" spans="1:11" x14ac:dyDescent="0.3">
      <c r="A101" t="s">
        <v>113</v>
      </c>
      <c r="B101">
        <v>10199.66</v>
      </c>
      <c r="C101" t="s">
        <v>36</v>
      </c>
      <c r="D101">
        <v>34</v>
      </c>
      <c r="G101">
        <v>61.764705882352899</v>
      </c>
      <c r="H101" t="s">
        <v>19</v>
      </c>
      <c r="I101">
        <v>14</v>
      </c>
      <c r="J101" s="2">
        <f t="shared" si="2"/>
        <v>0</v>
      </c>
      <c r="K101" s="2">
        <f t="shared" si="3"/>
        <v>15.866666666666667</v>
      </c>
    </row>
    <row r="102" spans="1:11" x14ac:dyDescent="0.3">
      <c r="A102" t="s">
        <v>114</v>
      </c>
      <c r="B102">
        <v>9999.9</v>
      </c>
      <c r="C102" t="s">
        <v>36</v>
      </c>
      <c r="D102">
        <v>5</v>
      </c>
      <c r="E102">
        <v>4.2426406871192803</v>
      </c>
      <c r="F102">
        <v>0.84852813742385602</v>
      </c>
      <c r="G102">
        <v>70</v>
      </c>
      <c r="H102" t="s">
        <v>19</v>
      </c>
      <c r="I102">
        <v>14</v>
      </c>
      <c r="J102" s="2">
        <f t="shared" si="2"/>
        <v>4.7821543262425088</v>
      </c>
      <c r="K102" s="2">
        <f t="shared" si="3"/>
        <v>7.1154876595758418</v>
      </c>
    </row>
    <row r="103" spans="1:11" x14ac:dyDescent="0.3">
      <c r="A103" t="s">
        <v>115</v>
      </c>
      <c r="B103">
        <v>9449.2999999999993</v>
      </c>
      <c r="C103" t="s">
        <v>36</v>
      </c>
      <c r="D103">
        <v>11.6666666666666</v>
      </c>
      <c r="E103">
        <v>8.3346665600170606</v>
      </c>
      <c r="F103">
        <v>0.71439999085860495</v>
      </c>
      <c r="G103">
        <v>47.142857142857103</v>
      </c>
      <c r="H103" t="s">
        <v>49</v>
      </c>
      <c r="I103">
        <v>14</v>
      </c>
      <c r="J103" s="2">
        <f t="shared" si="2"/>
        <v>9.3945409680303129</v>
      </c>
      <c r="K103" s="2">
        <f t="shared" si="3"/>
        <v>14.838985412474727</v>
      </c>
    </row>
    <row r="104" spans="1:11" x14ac:dyDescent="0.3">
      <c r="A104" t="s">
        <v>116</v>
      </c>
      <c r="B104">
        <v>9349.15</v>
      </c>
      <c r="C104" t="s">
        <v>36</v>
      </c>
      <c r="D104">
        <v>14.1666666666666</v>
      </c>
      <c r="E104">
        <v>7.7824589087682696</v>
      </c>
      <c r="F104">
        <v>0.549350040618937</v>
      </c>
      <c r="G104">
        <v>48.235294117647001</v>
      </c>
      <c r="H104" t="s">
        <v>49</v>
      </c>
      <c r="I104">
        <v>14</v>
      </c>
      <c r="J104" s="2">
        <f t="shared" si="2"/>
        <v>8.7721120603877321</v>
      </c>
      <c r="K104" s="2">
        <f t="shared" si="3"/>
        <v>15.383223171498813</v>
      </c>
    </row>
    <row r="105" spans="1:11" x14ac:dyDescent="0.3">
      <c r="A105" t="s">
        <v>117</v>
      </c>
      <c r="B105">
        <v>8999.4</v>
      </c>
      <c r="C105" t="s">
        <v>36</v>
      </c>
      <c r="D105">
        <v>10</v>
      </c>
      <c r="E105">
        <v>6.13188388670235</v>
      </c>
      <c r="F105">
        <v>0.61318838867023495</v>
      </c>
      <c r="G105">
        <v>50</v>
      </c>
      <c r="H105" t="s">
        <v>49</v>
      </c>
      <c r="I105">
        <v>14</v>
      </c>
      <c r="J105" s="2">
        <f t="shared" si="2"/>
        <v>6.9116423518581946</v>
      </c>
      <c r="K105" s="2">
        <f t="shared" si="3"/>
        <v>11.578309018524861</v>
      </c>
    </row>
    <row r="106" spans="1:11" x14ac:dyDescent="0.3">
      <c r="A106" t="s">
        <v>118</v>
      </c>
      <c r="B106">
        <v>8909.73</v>
      </c>
      <c r="C106" t="s">
        <v>36</v>
      </c>
      <c r="D106">
        <v>27</v>
      </c>
      <c r="G106">
        <v>51.851851851851798</v>
      </c>
      <c r="H106" t="s">
        <v>19</v>
      </c>
      <c r="I106">
        <v>14</v>
      </c>
      <c r="J106" s="2">
        <f t="shared" si="2"/>
        <v>0</v>
      </c>
      <c r="K106" s="2">
        <f t="shared" si="3"/>
        <v>12.6</v>
      </c>
    </row>
    <row r="107" spans="1:11" x14ac:dyDescent="0.3">
      <c r="A107" t="s">
        <v>119</v>
      </c>
      <c r="B107">
        <v>8871.1200000000008</v>
      </c>
      <c r="C107" t="s">
        <v>36</v>
      </c>
      <c r="D107">
        <v>31.714285714285701</v>
      </c>
      <c r="E107">
        <v>10.117301436637501</v>
      </c>
      <c r="F107">
        <v>0.319014009263346</v>
      </c>
      <c r="G107">
        <v>53.684210526315702</v>
      </c>
      <c r="H107" t="s">
        <v>19</v>
      </c>
      <c r="I107">
        <v>14</v>
      </c>
      <c r="J107" s="2">
        <f t="shared" si="2"/>
        <v>11.403863867615645</v>
      </c>
      <c r="K107" s="2">
        <f t="shared" si="3"/>
        <v>26.203863867615638</v>
      </c>
    </row>
    <row r="108" spans="1:11" x14ac:dyDescent="0.3">
      <c r="A108" t="s">
        <v>120</v>
      </c>
      <c r="B108">
        <v>8839.32</v>
      </c>
      <c r="C108" t="s">
        <v>36</v>
      </c>
      <c r="D108">
        <v>11.3333333333333</v>
      </c>
      <c r="E108">
        <v>7.9916623218618703</v>
      </c>
      <c r="F108">
        <v>0.70514667545840004</v>
      </c>
      <c r="G108">
        <v>42.647058823529399</v>
      </c>
      <c r="H108" t="s">
        <v>49</v>
      </c>
      <c r="I108">
        <v>14</v>
      </c>
      <c r="J108" s="2">
        <f t="shared" si="2"/>
        <v>9.0079187385322239</v>
      </c>
      <c r="K108" s="2">
        <f t="shared" si="3"/>
        <v>14.296807627421098</v>
      </c>
    </row>
    <row r="109" spans="1:11" x14ac:dyDescent="0.3">
      <c r="A109" t="s">
        <v>121</v>
      </c>
      <c r="B109">
        <v>8699.7099999999991</v>
      </c>
      <c r="C109" t="s">
        <v>36</v>
      </c>
      <c r="D109">
        <v>29</v>
      </c>
      <c r="G109">
        <v>62.068965517241303</v>
      </c>
      <c r="H109" t="s">
        <v>19</v>
      </c>
      <c r="I109">
        <v>14</v>
      </c>
      <c r="J109" s="2">
        <f t="shared" si="2"/>
        <v>0</v>
      </c>
      <c r="K109" s="2">
        <f t="shared" si="3"/>
        <v>13.533333333333333</v>
      </c>
    </row>
    <row r="110" spans="1:11" x14ac:dyDescent="0.3">
      <c r="A110" t="s">
        <v>122</v>
      </c>
      <c r="B110">
        <v>8399.7199999999993</v>
      </c>
      <c r="C110" t="s">
        <v>36</v>
      </c>
      <c r="D110">
        <v>28</v>
      </c>
      <c r="G110">
        <v>42.857142857142797</v>
      </c>
      <c r="H110" t="s">
        <v>49</v>
      </c>
      <c r="I110">
        <v>14</v>
      </c>
      <c r="J110" s="2">
        <f t="shared" si="2"/>
        <v>0</v>
      </c>
      <c r="K110" s="2">
        <f t="shared" si="3"/>
        <v>13.066666666666666</v>
      </c>
    </row>
    <row r="111" spans="1:11" x14ac:dyDescent="0.3">
      <c r="A111" t="s">
        <v>123</v>
      </c>
      <c r="B111">
        <v>8399.2999999999993</v>
      </c>
      <c r="C111" t="s">
        <v>36</v>
      </c>
      <c r="D111">
        <v>11.6666666666666</v>
      </c>
      <c r="E111">
        <v>5.6803755744375399</v>
      </c>
      <c r="F111">
        <v>0.48688933495178899</v>
      </c>
      <c r="G111">
        <v>50</v>
      </c>
      <c r="H111" t="s">
        <v>49</v>
      </c>
      <c r="I111">
        <v>14</v>
      </c>
      <c r="J111" s="2">
        <f t="shared" si="2"/>
        <v>6.4027181727763036</v>
      </c>
      <c r="K111" s="2">
        <f t="shared" si="3"/>
        <v>11.847162617220718</v>
      </c>
    </row>
    <row r="112" spans="1:11" x14ac:dyDescent="0.3">
      <c r="A112" t="s">
        <v>124</v>
      </c>
      <c r="B112">
        <v>8208</v>
      </c>
      <c r="C112" t="s">
        <v>36</v>
      </c>
      <c r="D112">
        <v>12.6666666666666</v>
      </c>
      <c r="E112">
        <v>6.8019605016985096</v>
      </c>
      <c r="F112">
        <v>0.53699688171304005</v>
      </c>
      <c r="G112">
        <v>55.2631578947368</v>
      </c>
      <c r="H112" t="s">
        <v>19</v>
      </c>
      <c r="I112">
        <v>14</v>
      </c>
      <c r="J112" s="2">
        <f t="shared" si="2"/>
        <v>7.6669289810197121</v>
      </c>
      <c r="K112" s="2">
        <f t="shared" si="3"/>
        <v>13.578040092130792</v>
      </c>
    </row>
    <row r="113" spans="1:11" x14ac:dyDescent="0.3">
      <c r="A113" t="s">
        <v>125</v>
      </c>
      <c r="B113">
        <v>7999.36</v>
      </c>
      <c r="C113" t="s">
        <v>36</v>
      </c>
      <c r="D113">
        <v>10.6666666666666</v>
      </c>
      <c r="E113">
        <v>6.1535897382476401</v>
      </c>
      <c r="F113">
        <v>0.57689903796071595</v>
      </c>
      <c r="G113">
        <v>59.375</v>
      </c>
      <c r="H113" t="s">
        <v>19</v>
      </c>
      <c r="I113">
        <v>14</v>
      </c>
      <c r="J113" s="2">
        <f t="shared" si="2"/>
        <v>6.9361084189911546</v>
      </c>
      <c r="K113" s="2">
        <f t="shared" si="3"/>
        <v>11.913886196768901</v>
      </c>
    </row>
    <row r="114" spans="1:11" x14ac:dyDescent="0.3">
      <c r="A114" t="s">
        <v>126</v>
      </c>
      <c r="B114">
        <v>7539.42</v>
      </c>
      <c r="C114" t="s">
        <v>36</v>
      </c>
      <c r="D114">
        <v>9.6666666666666607</v>
      </c>
      <c r="E114">
        <v>5.81950742474538</v>
      </c>
      <c r="F114">
        <v>0.60201800945641903</v>
      </c>
      <c r="G114">
        <v>43.103448275862</v>
      </c>
      <c r="H114" t="s">
        <v>49</v>
      </c>
      <c r="I114">
        <v>14</v>
      </c>
      <c r="J114" s="2">
        <f t="shared" si="2"/>
        <v>6.5595426669852461</v>
      </c>
      <c r="K114" s="2">
        <f t="shared" si="3"/>
        <v>11.070653778096354</v>
      </c>
    </row>
    <row r="115" spans="1:11" x14ac:dyDescent="0.3">
      <c r="A115" t="s">
        <v>127</v>
      </c>
      <c r="B115">
        <v>6599.89</v>
      </c>
      <c r="C115" t="s">
        <v>36</v>
      </c>
      <c r="D115">
        <v>5.5</v>
      </c>
      <c r="E115">
        <v>2.1213203435596402</v>
      </c>
      <c r="F115">
        <v>0.38569460791993498</v>
      </c>
      <c r="G115">
        <v>54.545454545454497</v>
      </c>
      <c r="H115" t="s">
        <v>19</v>
      </c>
      <c r="I115">
        <v>14</v>
      </c>
      <c r="J115" s="2">
        <f t="shared" si="2"/>
        <v>2.3910771631212544</v>
      </c>
      <c r="K115" s="2">
        <f t="shared" si="3"/>
        <v>4.9577438297879208</v>
      </c>
    </row>
    <row r="116" spans="1:11" x14ac:dyDescent="0.3">
      <c r="A116" t="s">
        <v>128</v>
      </c>
      <c r="B116">
        <v>6104.66</v>
      </c>
      <c r="C116" t="s">
        <v>36</v>
      </c>
      <c r="D116">
        <v>264.5</v>
      </c>
      <c r="E116">
        <v>16.263455967290501</v>
      </c>
      <c r="F116">
        <v>6.1487546190134502E-2</v>
      </c>
      <c r="G116">
        <v>55.009451795841201</v>
      </c>
      <c r="H116" t="s">
        <v>19</v>
      </c>
      <c r="I116">
        <v>14</v>
      </c>
      <c r="J116" s="2">
        <f t="shared" si="2"/>
        <v>18.331591583929534</v>
      </c>
      <c r="K116" s="2">
        <f t="shared" si="3"/>
        <v>141.76492491726287</v>
      </c>
    </row>
    <row r="117" spans="1:11" x14ac:dyDescent="0.3">
      <c r="A117" t="s">
        <v>129</v>
      </c>
      <c r="B117">
        <v>5999.9</v>
      </c>
      <c r="C117" t="s">
        <v>36</v>
      </c>
      <c r="D117">
        <v>5</v>
      </c>
      <c r="E117">
        <v>2.8284271247461898</v>
      </c>
      <c r="F117">
        <v>0.56568542494923801</v>
      </c>
      <c r="G117">
        <v>60</v>
      </c>
      <c r="H117" t="s">
        <v>19</v>
      </c>
      <c r="I117">
        <v>14</v>
      </c>
      <c r="J117" s="2">
        <f t="shared" si="2"/>
        <v>3.1881028841616761</v>
      </c>
      <c r="K117" s="2">
        <f t="shared" si="3"/>
        <v>5.5214362174950091</v>
      </c>
    </row>
    <row r="118" spans="1:11" x14ac:dyDescent="0.3">
      <c r="A118" t="s">
        <v>130</v>
      </c>
      <c r="B118">
        <v>5937.3</v>
      </c>
      <c r="C118" t="s">
        <v>36</v>
      </c>
      <c r="D118">
        <v>9</v>
      </c>
      <c r="E118">
        <v>4</v>
      </c>
      <c r="F118">
        <v>0.44444444444444398</v>
      </c>
      <c r="G118">
        <v>48.148148148148103</v>
      </c>
      <c r="H118" t="s">
        <v>49</v>
      </c>
      <c r="I118">
        <v>14</v>
      </c>
      <c r="J118" s="2">
        <f t="shared" si="2"/>
        <v>4.5086583370222231</v>
      </c>
      <c r="K118" s="2">
        <f t="shared" si="3"/>
        <v>8.7086583370222233</v>
      </c>
    </row>
    <row r="119" spans="1:11" x14ac:dyDescent="0.3">
      <c r="A119" t="s">
        <v>131</v>
      </c>
      <c r="B119">
        <v>3059.5899999999901</v>
      </c>
      <c r="C119" t="s">
        <v>36</v>
      </c>
      <c r="D119">
        <v>135.5</v>
      </c>
      <c r="E119">
        <v>3.5355339059327302</v>
      </c>
      <c r="F119">
        <v>2.6092501150795099E-2</v>
      </c>
      <c r="G119">
        <v>52.0295202952029</v>
      </c>
      <c r="H119" t="s">
        <v>19</v>
      </c>
      <c r="I119">
        <v>14</v>
      </c>
      <c r="J119" s="2">
        <f t="shared" si="2"/>
        <v>3.9851286052020867</v>
      </c>
      <c r="K119" s="2">
        <f t="shared" si="3"/>
        <v>67.218461938535427</v>
      </c>
    </row>
  </sheetData>
  <conditionalFormatting sqref="A2:XFD2">
    <cfRule type="expression" dxfId="2" priority="3">
      <formula>AND($C2="A",$F2&gt;1)</formula>
    </cfRule>
  </conditionalFormatting>
  <conditionalFormatting sqref="C1:C1048576 F1:F1048576">
    <cfRule type="expression" dxfId="1" priority="2">
      <formula>AND($C2="A",$F2&gt;1)</formula>
    </cfRule>
  </conditionalFormatting>
  <conditionalFormatting sqref="A2:XFD119">
    <cfRule type="expression" dxfId="0" priority="1">
      <formula>AND($C2="A",$F2&gt;1)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B</dc:creator>
  <cp:lastModifiedBy>Shalini B</cp:lastModifiedBy>
  <dcterms:created xsi:type="dcterms:W3CDTF">2026-08-17T06:18:18Z</dcterms:created>
  <dcterms:modified xsi:type="dcterms:W3CDTF">2026-08-17T06:42:56Z</dcterms:modified>
</cp:coreProperties>
</file>